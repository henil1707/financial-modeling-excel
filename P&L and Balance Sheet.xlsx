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zotahealthcare365-my.sharepoint.com/personal/ethical_zotahealthcare_com/Documents/Desktop/henil/FINANCE/"/>
    </mc:Choice>
  </mc:AlternateContent>
  <xr:revisionPtr revIDLastSave="2" documentId="13_ncr:1_{B5693A78-A83C-4E40-ADA5-64E849D3B15D}" xr6:coauthVersionLast="47" xr6:coauthVersionMax="47" xr10:uidLastSave="{F65D74CB-10FA-4AA6-AF9A-76D00561803E}"/>
  <bookViews>
    <workbookView xWindow="-110" yWindow="-110" windowWidth="19420" windowHeight="10300" firstSheet="6" activeTab="6" xr2:uid="{00000000-000D-0000-FFFF-FFFF00000000}"/>
  </bookViews>
  <sheets>
    <sheet name="Original Source" sheetId="7" r:id="rId1"/>
    <sheet name="BS 2014" sheetId="16" r:id="rId2"/>
    <sheet name="BS 2015" sheetId="17" r:id="rId3"/>
    <sheet name="BS 2016" sheetId="18" r:id="rId4"/>
    <sheet name="Exercise --&gt;" sheetId="8" r:id="rId5"/>
    <sheet name="Workings" sheetId="11" r:id="rId6"/>
    <sheet name="P&amp;L" sheetId="15" r:id="rId7"/>
    <sheet name="BS" sheetId="19" r:id="rId8"/>
    <sheet name="Fixed Asset Roll Forward" sheetId="20" r:id="rId9"/>
    <sheet name="Financial Liablity" sheetId="21" r:id="rId10"/>
    <sheet name="Equity Schedule" sheetId="22" r:id="rId11"/>
    <sheet name="Cash Flow" sheetId="23" r:id="rId12"/>
  </sheets>
  <definedNames>
    <definedName name="_xlnm._FilterDatabase" localSheetId="1" hidden="1">'BS 2014'!$B$1:$D$44</definedName>
    <definedName name="_xlnm._FilterDatabase" localSheetId="0" hidden="1">'Original Source'!#REF!</definedName>
    <definedName name="_xlnm._FilterDatabase" localSheetId="5" hidden="1">Workings!$A$1:$E$436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20" l="1"/>
  <c r="F4" i="20" s="1"/>
  <c r="I20" i="15"/>
  <c r="M20" i="15"/>
  <c r="L20" i="15"/>
  <c r="K20" i="15"/>
  <c r="J20" i="15"/>
  <c r="C15" i="19"/>
  <c r="C14" i="19"/>
  <c r="C13" i="19"/>
  <c r="C7" i="21" s="1"/>
  <c r="D4" i="21" s="1"/>
  <c r="C12" i="19"/>
  <c r="C11" i="19"/>
  <c r="C8" i="19"/>
  <c r="C7" i="19"/>
  <c r="C6" i="19"/>
  <c r="D4" i="20" s="1"/>
  <c r="C5" i="19"/>
  <c r="E15" i="19"/>
  <c r="E8" i="22" s="1"/>
  <c r="F4" i="22" s="1"/>
  <c r="E14" i="19"/>
  <c r="E13" i="19"/>
  <c r="E7" i="21" s="1"/>
  <c r="C11" i="21" s="1"/>
  <c r="E12" i="19"/>
  <c r="F12" i="19" s="1"/>
  <c r="G12" i="19" s="1"/>
  <c r="E11" i="19"/>
  <c r="E8" i="19"/>
  <c r="E7" i="19"/>
  <c r="E6" i="19"/>
  <c r="E5" i="19"/>
  <c r="E4" i="19"/>
  <c r="D15" i="19"/>
  <c r="D14" i="19"/>
  <c r="D13" i="19"/>
  <c r="D7" i="21" s="1"/>
  <c r="D12" i="19"/>
  <c r="D11" i="19"/>
  <c r="D8" i="19"/>
  <c r="D7" i="19"/>
  <c r="D6" i="19"/>
  <c r="E4" i="20" s="1"/>
  <c r="D5" i="19"/>
  <c r="D4" i="19"/>
  <c r="C4" i="19"/>
  <c r="F24" i="16"/>
  <c r="B436" i="11"/>
  <c r="B435" i="11"/>
  <c r="B434" i="11"/>
  <c r="B433" i="11"/>
  <c r="B432" i="11"/>
  <c r="B431" i="11"/>
  <c r="B430" i="11"/>
  <c r="B429" i="11"/>
  <c r="B428" i="11"/>
  <c r="B427" i="11"/>
  <c r="B426" i="11"/>
  <c r="B425" i="11"/>
  <c r="B424" i="11"/>
  <c r="B423" i="11"/>
  <c r="B422" i="11"/>
  <c r="B421" i="11"/>
  <c r="B420" i="11"/>
  <c r="B419" i="11"/>
  <c r="B418" i="11"/>
  <c r="B417" i="11"/>
  <c r="B416" i="11"/>
  <c r="B415" i="11"/>
  <c r="B414" i="11"/>
  <c r="B413" i="11"/>
  <c r="B412" i="11"/>
  <c r="B411" i="11"/>
  <c r="B410" i="11"/>
  <c r="B409" i="11"/>
  <c r="B408" i="11"/>
  <c r="B407" i="11"/>
  <c r="B406" i="11"/>
  <c r="B405" i="11"/>
  <c r="B404" i="11"/>
  <c r="B403" i="11"/>
  <c r="B402" i="11"/>
  <c r="B401" i="11"/>
  <c r="B400" i="11"/>
  <c r="B399" i="11"/>
  <c r="B398" i="11"/>
  <c r="B397" i="11"/>
  <c r="B396" i="11"/>
  <c r="B395" i="11"/>
  <c r="B394" i="11"/>
  <c r="B393" i="11"/>
  <c r="B392" i="11"/>
  <c r="B391" i="11"/>
  <c r="B390" i="11"/>
  <c r="B389" i="11"/>
  <c r="B388" i="11"/>
  <c r="B387" i="11"/>
  <c r="B386" i="11"/>
  <c r="B385" i="11"/>
  <c r="B384" i="11"/>
  <c r="B383" i="11"/>
  <c r="B382" i="11"/>
  <c r="B381" i="11"/>
  <c r="B380" i="11"/>
  <c r="B379" i="11"/>
  <c r="B378" i="11"/>
  <c r="B377" i="11"/>
  <c r="B376" i="11"/>
  <c r="B375" i="11"/>
  <c r="B374" i="11"/>
  <c r="B373" i="11"/>
  <c r="B372" i="11"/>
  <c r="B371" i="11"/>
  <c r="B370" i="11"/>
  <c r="B369" i="11"/>
  <c r="B368" i="11"/>
  <c r="B367" i="11"/>
  <c r="B366" i="11"/>
  <c r="B365" i="11"/>
  <c r="B364" i="11"/>
  <c r="B363" i="11"/>
  <c r="B362" i="11"/>
  <c r="B361" i="11"/>
  <c r="B360" i="11"/>
  <c r="B359" i="11"/>
  <c r="B358" i="11"/>
  <c r="B357" i="11"/>
  <c r="B356" i="11"/>
  <c r="B355" i="11"/>
  <c r="B354" i="11"/>
  <c r="B353" i="11"/>
  <c r="B352" i="11"/>
  <c r="B351" i="11"/>
  <c r="B350" i="11"/>
  <c r="B349" i="11"/>
  <c r="B348" i="11"/>
  <c r="B347" i="11"/>
  <c r="B346" i="11"/>
  <c r="B345" i="11"/>
  <c r="B344" i="11"/>
  <c r="B343" i="11"/>
  <c r="B342" i="11"/>
  <c r="B341" i="11"/>
  <c r="B340" i="11"/>
  <c r="B339" i="11"/>
  <c r="B338" i="11"/>
  <c r="B337" i="11"/>
  <c r="B336" i="11"/>
  <c r="B335" i="11"/>
  <c r="B334" i="11"/>
  <c r="B333" i="11"/>
  <c r="B332" i="11"/>
  <c r="B331" i="11"/>
  <c r="B330" i="11"/>
  <c r="B329" i="11"/>
  <c r="B328" i="11"/>
  <c r="B327" i="11"/>
  <c r="B326" i="11"/>
  <c r="B325" i="11"/>
  <c r="B324" i="11"/>
  <c r="B323" i="11"/>
  <c r="B322" i="11"/>
  <c r="B321" i="11"/>
  <c r="B320" i="11"/>
  <c r="B319" i="11"/>
  <c r="B318" i="11"/>
  <c r="B317" i="11"/>
  <c r="B316" i="11"/>
  <c r="B315" i="11"/>
  <c r="B314" i="11"/>
  <c r="B313" i="11"/>
  <c r="B312" i="11"/>
  <c r="B311" i="11"/>
  <c r="B310" i="11"/>
  <c r="B309" i="11"/>
  <c r="B308" i="11"/>
  <c r="B307" i="11"/>
  <c r="B306" i="11"/>
  <c r="B305" i="11"/>
  <c r="B304" i="11"/>
  <c r="B303" i="11"/>
  <c r="B302" i="11"/>
  <c r="B301" i="11"/>
  <c r="B300" i="11"/>
  <c r="B299" i="11"/>
  <c r="B298" i="11"/>
  <c r="B297" i="11"/>
  <c r="B296" i="11"/>
  <c r="B295" i="11"/>
  <c r="B294" i="11"/>
  <c r="B293" i="11"/>
  <c r="B292" i="11"/>
  <c r="B291" i="11"/>
  <c r="B290" i="11"/>
  <c r="B289" i="11"/>
  <c r="B288" i="11"/>
  <c r="B287" i="11"/>
  <c r="B286" i="11"/>
  <c r="B285" i="11"/>
  <c r="B284" i="11"/>
  <c r="B283" i="11"/>
  <c r="B282" i="11"/>
  <c r="B281" i="11"/>
  <c r="B280" i="11"/>
  <c r="B279" i="11"/>
  <c r="B278" i="11"/>
  <c r="B277" i="11"/>
  <c r="B276" i="11"/>
  <c r="B275" i="11"/>
  <c r="B274" i="11"/>
  <c r="B273" i="11"/>
  <c r="B272" i="11"/>
  <c r="B271" i="11"/>
  <c r="B270" i="11"/>
  <c r="B269" i="11"/>
  <c r="B268" i="11"/>
  <c r="B267" i="11"/>
  <c r="B266" i="11"/>
  <c r="B265" i="11"/>
  <c r="B264" i="11"/>
  <c r="B263" i="11"/>
  <c r="B262" i="11"/>
  <c r="B261" i="11"/>
  <c r="B260" i="11"/>
  <c r="B259" i="11"/>
  <c r="B258" i="11"/>
  <c r="B257" i="11"/>
  <c r="B256" i="11"/>
  <c r="B255" i="11"/>
  <c r="B254" i="11"/>
  <c r="B253" i="11"/>
  <c r="B252" i="11"/>
  <c r="B251" i="11"/>
  <c r="B250" i="11"/>
  <c r="B249" i="11"/>
  <c r="B248" i="11"/>
  <c r="B247" i="11"/>
  <c r="B246" i="11"/>
  <c r="B245" i="11"/>
  <c r="B244" i="11"/>
  <c r="B243" i="11"/>
  <c r="B242" i="11"/>
  <c r="B241" i="11"/>
  <c r="B240" i="11"/>
  <c r="B239" i="11"/>
  <c r="B238" i="11"/>
  <c r="B237" i="11"/>
  <c r="B236" i="11"/>
  <c r="B235" i="11"/>
  <c r="B234" i="11"/>
  <c r="B233" i="11"/>
  <c r="B232" i="11"/>
  <c r="B231" i="11"/>
  <c r="B230" i="11"/>
  <c r="B229" i="11"/>
  <c r="B228" i="11"/>
  <c r="B227" i="11"/>
  <c r="B226" i="11"/>
  <c r="B225" i="11"/>
  <c r="B224" i="11"/>
  <c r="B223" i="11"/>
  <c r="B222" i="11"/>
  <c r="B221" i="11"/>
  <c r="B220" i="11"/>
  <c r="B219" i="11"/>
  <c r="B218" i="11"/>
  <c r="B217" i="11"/>
  <c r="B216" i="11"/>
  <c r="B215" i="11"/>
  <c r="B214" i="11"/>
  <c r="B213" i="11"/>
  <c r="B212" i="11"/>
  <c r="B211" i="11"/>
  <c r="B210" i="11"/>
  <c r="B209" i="11"/>
  <c r="B208" i="11"/>
  <c r="B207" i="11"/>
  <c r="B206" i="11"/>
  <c r="B205" i="11"/>
  <c r="B204" i="11"/>
  <c r="B203" i="11"/>
  <c r="B202" i="11"/>
  <c r="B201" i="11"/>
  <c r="B200" i="11"/>
  <c r="B199" i="11"/>
  <c r="B198" i="11"/>
  <c r="B197" i="11"/>
  <c r="B196" i="11"/>
  <c r="B195" i="11"/>
  <c r="B194" i="11"/>
  <c r="B193" i="11"/>
  <c r="B192" i="11"/>
  <c r="B191" i="11"/>
  <c r="B190" i="11"/>
  <c r="B189" i="11"/>
  <c r="B188" i="11"/>
  <c r="B187" i="11"/>
  <c r="B186" i="11"/>
  <c r="B185" i="11"/>
  <c r="B184" i="11"/>
  <c r="B183" i="11"/>
  <c r="B182" i="11"/>
  <c r="B181" i="11"/>
  <c r="B180" i="11"/>
  <c r="B179" i="11"/>
  <c r="B178" i="11"/>
  <c r="B177" i="11"/>
  <c r="B176" i="11"/>
  <c r="B175" i="11"/>
  <c r="B174" i="11"/>
  <c r="B173" i="11"/>
  <c r="B172" i="11"/>
  <c r="B171" i="11"/>
  <c r="B170" i="11"/>
  <c r="B169" i="11"/>
  <c r="B168" i="11"/>
  <c r="B167" i="11"/>
  <c r="B166" i="11"/>
  <c r="B165" i="11"/>
  <c r="B164" i="11"/>
  <c r="B163" i="11"/>
  <c r="B162" i="11"/>
  <c r="B161" i="11"/>
  <c r="B160" i="11"/>
  <c r="B159" i="11"/>
  <c r="B158" i="11"/>
  <c r="B157" i="11"/>
  <c r="B156" i="11"/>
  <c r="B155" i="11"/>
  <c r="B154" i="11"/>
  <c r="B153" i="11"/>
  <c r="B152" i="11"/>
  <c r="B151" i="11"/>
  <c r="B150" i="11"/>
  <c r="B149" i="11"/>
  <c r="B148" i="11"/>
  <c r="B147" i="11"/>
  <c r="B146" i="11"/>
  <c r="B145" i="11"/>
  <c r="B144" i="11"/>
  <c r="B143" i="11"/>
  <c r="B142" i="11"/>
  <c r="B141" i="11"/>
  <c r="B140" i="11"/>
  <c r="B139" i="11"/>
  <c r="B138" i="11"/>
  <c r="B137" i="11"/>
  <c r="B136" i="11"/>
  <c r="B135" i="11"/>
  <c r="B134" i="11"/>
  <c r="B133" i="11"/>
  <c r="B132" i="11"/>
  <c r="B131" i="11"/>
  <c r="B130" i="11"/>
  <c r="B129" i="11"/>
  <c r="B128" i="11"/>
  <c r="B127" i="11"/>
  <c r="B126" i="11"/>
  <c r="B125" i="11"/>
  <c r="B124" i="11"/>
  <c r="B123" i="11"/>
  <c r="B122" i="11"/>
  <c r="B121" i="11"/>
  <c r="B120" i="11"/>
  <c r="B119" i="11"/>
  <c r="B118" i="11"/>
  <c r="B117" i="11"/>
  <c r="B116" i="11"/>
  <c r="B115" i="11"/>
  <c r="B114" i="11"/>
  <c r="B113" i="11"/>
  <c r="B112" i="11"/>
  <c r="B111" i="11"/>
  <c r="B110" i="11"/>
  <c r="B109" i="11"/>
  <c r="B108" i="11"/>
  <c r="B107" i="11"/>
  <c r="B106" i="11"/>
  <c r="B105" i="11"/>
  <c r="B104" i="11"/>
  <c r="B103" i="11"/>
  <c r="B102" i="11"/>
  <c r="B101" i="11"/>
  <c r="B100" i="11"/>
  <c r="B99" i="11"/>
  <c r="B98" i="11"/>
  <c r="B97" i="11"/>
  <c r="B96" i="11"/>
  <c r="B95" i="11"/>
  <c r="B94" i="11"/>
  <c r="B93" i="11"/>
  <c r="B92" i="11"/>
  <c r="B91" i="11"/>
  <c r="B90" i="11"/>
  <c r="B89" i="11"/>
  <c r="B88" i="11"/>
  <c r="B87" i="11"/>
  <c r="B86" i="11"/>
  <c r="B85" i="11"/>
  <c r="B84" i="11"/>
  <c r="B83" i="11"/>
  <c r="B82" i="11"/>
  <c r="B81" i="11"/>
  <c r="B80" i="11"/>
  <c r="B79" i="11"/>
  <c r="B78" i="11"/>
  <c r="B77" i="11"/>
  <c r="B76" i="11"/>
  <c r="B75" i="11"/>
  <c r="B74" i="11"/>
  <c r="B73" i="11"/>
  <c r="B72" i="11"/>
  <c r="B71" i="11"/>
  <c r="B70" i="11"/>
  <c r="B69" i="11"/>
  <c r="B68" i="11"/>
  <c r="B67" i="11"/>
  <c r="B66" i="11"/>
  <c r="B65" i="11"/>
  <c r="B64" i="11"/>
  <c r="B63" i="11"/>
  <c r="B62" i="11"/>
  <c r="B61" i="11"/>
  <c r="B60" i="11"/>
  <c r="B59" i="11"/>
  <c r="B58" i="11"/>
  <c r="B57" i="11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E14" i="15" s="1"/>
  <c r="B12" i="11"/>
  <c r="E12" i="15" s="1"/>
  <c r="B11" i="11"/>
  <c r="B10" i="11"/>
  <c r="B9" i="11"/>
  <c r="B8" i="11"/>
  <c r="B7" i="11"/>
  <c r="B6" i="11"/>
  <c r="B5" i="11"/>
  <c r="B4" i="11"/>
  <c r="B3" i="11"/>
  <c r="B2" i="11"/>
  <c r="E8" i="15" l="1"/>
  <c r="E10" i="15"/>
  <c r="E5" i="20" s="1"/>
  <c r="E6" i="20" s="1"/>
  <c r="E10" i="20" s="1"/>
  <c r="C8" i="15"/>
  <c r="E5" i="15"/>
  <c r="E18" i="19" s="1"/>
  <c r="C6" i="15"/>
  <c r="C19" i="19" s="1"/>
  <c r="E6" i="15"/>
  <c r="E20" i="19" s="1"/>
  <c r="H12" i="19"/>
  <c r="I12" i="19" s="1"/>
  <c r="J12" i="19" s="1"/>
  <c r="G16" i="23" s="1"/>
  <c r="D16" i="23"/>
  <c r="D6" i="21"/>
  <c r="E14" i="21"/>
  <c r="G14" i="21"/>
  <c r="F14" i="21"/>
  <c r="D14" i="21"/>
  <c r="C14" i="21"/>
  <c r="L14" i="21"/>
  <c r="K14" i="21"/>
  <c r="J14" i="21"/>
  <c r="I14" i="21"/>
  <c r="H14" i="21"/>
  <c r="E4" i="21"/>
  <c r="D7" i="20"/>
  <c r="F4" i="21"/>
  <c r="E6" i="21"/>
  <c r="C15" i="21"/>
  <c r="I12" i="15" s="1"/>
  <c r="C5" i="23" s="1"/>
  <c r="C16" i="23"/>
  <c r="E16" i="19"/>
  <c r="D16" i="19"/>
  <c r="C16" i="19"/>
  <c r="C9" i="19"/>
  <c r="C25" i="19" s="1"/>
  <c r="D9" i="19"/>
  <c r="D25" i="19" s="1"/>
  <c r="E9" i="19"/>
  <c r="E25" i="19" s="1"/>
  <c r="D6" i="15"/>
  <c r="C14" i="15"/>
  <c r="D14" i="15"/>
  <c r="C5" i="15"/>
  <c r="D12" i="15"/>
  <c r="D5" i="15"/>
  <c r="C10" i="15"/>
  <c r="D10" i="15"/>
  <c r="D5" i="20" s="1"/>
  <c r="D9" i="20" s="1"/>
  <c r="D8" i="15"/>
  <c r="C12" i="15"/>
  <c r="F16" i="23" l="1"/>
  <c r="E16" i="23"/>
  <c r="C34" i="15"/>
  <c r="E9" i="20"/>
  <c r="J9" i="20" s="1"/>
  <c r="E32" i="15"/>
  <c r="E22" i="19"/>
  <c r="E29" i="15"/>
  <c r="I5" i="15"/>
  <c r="E21" i="19"/>
  <c r="E7" i="15"/>
  <c r="E9" i="15" s="1"/>
  <c r="E34" i="15"/>
  <c r="M34" i="15" s="1"/>
  <c r="E28" i="15"/>
  <c r="C20" i="19"/>
  <c r="E19" i="19"/>
  <c r="E33" i="15"/>
  <c r="E27" i="15"/>
  <c r="C16" i="21"/>
  <c r="C29" i="15"/>
  <c r="G8" i="15"/>
  <c r="D33" i="15"/>
  <c r="D32" i="15"/>
  <c r="D34" i="15"/>
  <c r="D6" i="20"/>
  <c r="D10" i="20" s="1"/>
  <c r="H5" i="15"/>
  <c r="D22" i="19"/>
  <c r="D18" i="19"/>
  <c r="D21" i="19"/>
  <c r="C32" i="15"/>
  <c r="G6" i="15"/>
  <c r="D19" i="19"/>
  <c r="D27" i="15"/>
  <c r="D29" i="15"/>
  <c r="D20" i="19"/>
  <c r="D28" i="15"/>
  <c r="C33" i="15"/>
  <c r="C7" i="15"/>
  <c r="C9" i="15" s="1"/>
  <c r="C11" i="15" s="1"/>
  <c r="C13" i="15" s="1"/>
  <c r="C15" i="15" s="1"/>
  <c r="C27" i="15"/>
  <c r="C22" i="19"/>
  <c r="C18" i="19"/>
  <c r="C21" i="19"/>
  <c r="C28" i="15"/>
  <c r="G10" i="15"/>
  <c r="G12" i="15"/>
  <c r="G14" i="15"/>
  <c r="H10" i="15"/>
  <c r="H8" i="15"/>
  <c r="H6" i="15"/>
  <c r="H12" i="15"/>
  <c r="G5" i="15"/>
  <c r="D7" i="15"/>
  <c r="H14" i="15"/>
  <c r="G9" i="20" l="1"/>
  <c r="H9" i="20"/>
  <c r="I9" i="20"/>
  <c r="F9" i="20"/>
  <c r="F5" i="20" s="1"/>
  <c r="J34" i="15"/>
  <c r="I34" i="15"/>
  <c r="I33" i="15"/>
  <c r="J33" i="15"/>
  <c r="K33" i="15"/>
  <c r="K31" i="15" s="1"/>
  <c r="M33" i="15"/>
  <c r="M31" i="15" s="1"/>
  <c r="L33" i="15"/>
  <c r="L31" i="15" s="1"/>
  <c r="I32" i="15"/>
  <c r="M32" i="15"/>
  <c r="J32" i="15"/>
  <c r="L32" i="15"/>
  <c r="K32" i="15"/>
  <c r="K34" i="15"/>
  <c r="L34" i="15"/>
  <c r="G19" i="19"/>
  <c r="J5" i="15"/>
  <c r="C17" i="21"/>
  <c r="F6" i="21"/>
  <c r="F7" i="21" s="1"/>
  <c r="H19" i="19"/>
  <c r="G21" i="19"/>
  <c r="H21" i="19"/>
  <c r="F21" i="19"/>
  <c r="F8" i="19" s="1"/>
  <c r="C10" i="23" s="1"/>
  <c r="I21" i="19"/>
  <c r="J21" i="19"/>
  <c r="F20" i="19"/>
  <c r="J20" i="19"/>
  <c r="H20" i="19"/>
  <c r="G20" i="19"/>
  <c r="I20" i="19"/>
  <c r="J18" i="19"/>
  <c r="G18" i="19"/>
  <c r="H18" i="19"/>
  <c r="F18" i="19"/>
  <c r="F4" i="19" s="1"/>
  <c r="C7" i="23" s="1"/>
  <c r="I18" i="19"/>
  <c r="J22" i="19"/>
  <c r="F22" i="19"/>
  <c r="F14" i="19" s="1"/>
  <c r="C11" i="23" s="1"/>
  <c r="H22" i="19"/>
  <c r="I22" i="19"/>
  <c r="G22" i="19"/>
  <c r="M27" i="15"/>
  <c r="L27" i="15"/>
  <c r="K27" i="15"/>
  <c r="J27" i="15"/>
  <c r="I27" i="15"/>
  <c r="J10" i="20"/>
  <c r="I10" i="20"/>
  <c r="H10" i="20"/>
  <c r="G10" i="20"/>
  <c r="F10" i="20"/>
  <c r="F6" i="20" s="1"/>
  <c r="C12" i="23" s="1"/>
  <c r="K28" i="15"/>
  <c r="J28" i="15"/>
  <c r="I28" i="15"/>
  <c r="M28" i="15"/>
  <c r="L28" i="15"/>
  <c r="I10" i="15"/>
  <c r="I19" i="19"/>
  <c r="J19" i="19"/>
  <c r="F19" i="19"/>
  <c r="M29" i="15"/>
  <c r="L29" i="15"/>
  <c r="K29" i="15"/>
  <c r="J29" i="15"/>
  <c r="I29" i="15"/>
  <c r="G7" i="15"/>
  <c r="D9" i="15"/>
  <c r="H9" i="15" s="1"/>
  <c r="E11" i="15"/>
  <c r="H7" i="15"/>
  <c r="K26" i="15" l="1"/>
  <c r="J31" i="15"/>
  <c r="J8" i="15" s="1"/>
  <c r="I31" i="15"/>
  <c r="I8" i="15" s="1"/>
  <c r="L26" i="15"/>
  <c r="J26" i="15"/>
  <c r="G14" i="19"/>
  <c r="D11" i="23" s="1"/>
  <c r="G8" i="19"/>
  <c r="D10" i="23" s="1"/>
  <c r="J6" i="15"/>
  <c r="G11" i="19" s="1"/>
  <c r="G4" i="19"/>
  <c r="D7" i="23" s="1"/>
  <c r="K5" i="15"/>
  <c r="L5" i="15" s="1"/>
  <c r="L8" i="15" s="1"/>
  <c r="D15" i="21"/>
  <c r="F7" i="20"/>
  <c r="G4" i="20" s="1"/>
  <c r="F13" i="19"/>
  <c r="C15" i="23"/>
  <c r="G4" i="21"/>
  <c r="I26" i="15"/>
  <c r="I6" i="15" s="1"/>
  <c r="F5" i="19" s="1"/>
  <c r="C8" i="23" s="1"/>
  <c r="M26" i="15"/>
  <c r="E13" i="15"/>
  <c r="G9" i="15"/>
  <c r="D11" i="15"/>
  <c r="H14" i="19" l="1"/>
  <c r="I14" i="19"/>
  <c r="H4" i="19"/>
  <c r="E7" i="23" s="1"/>
  <c r="M5" i="15"/>
  <c r="J4" i="19" s="1"/>
  <c r="I8" i="19"/>
  <c r="L6" i="15"/>
  <c r="I11" i="19" s="1"/>
  <c r="J7" i="15"/>
  <c r="J9" i="15" s="1"/>
  <c r="D4" i="23" s="1"/>
  <c r="G5" i="19"/>
  <c r="D8" i="23" s="1"/>
  <c r="H8" i="19"/>
  <c r="E10" i="23" s="1"/>
  <c r="K8" i="15"/>
  <c r="I4" i="19"/>
  <c r="K6" i="15"/>
  <c r="H11" i="19" s="1"/>
  <c r="E9" i="23" s="1"/>
  <c r="F6" i="19"/>
  <c r="J12" i="15"/>
  <c r="D5" i="23" s="1"/>
  <c r="D16" i="21"/>
  <c r="F11" i="19"/>
  <c r="I7" i="15"/>
  <c r="I9" i="15" s="1"/>
  <c r="G6" i="20"/>
  <c r="D12" i="23" s="1"/>
  <c r="G5" i="20"/>
  <c r="L7" i="15"/>
  <c r="L9" i="15" s="1"/>
  <c r="I5" i="19"/>
  <c r="D13" i="15"/>
  <c r="H13" i="15" s="1"/>
  <c r="G11" i="15"/>
  <c r="E15" i="15"/>
  <c r="H11" i="15"/>
  <c r="F11" i="23" l="1"/>
  <c r="E11" i="23"/>
  <c r="M8" i="15"/>
  <c r="F7" i="23"/>
  <c r="M6" i="15"/>
  <c r="J11" i="19" s="1"/>
  <c r="G9" i="23" s="1"/>
  <c r="J14" i="19"/>
  <c r="G11" i="23" s="1"/>
  <c r="J8" i="19"/>
  <c r="G10" i="23" s="1"/>
  <c r="G7" i="23"/>
  <c r="H5" i="19"/>
  <c r="E8" i="23" s="1"/>
  <c r="F9" i="23"/>
  <c r="K7" i="15"/>
  <c r="K9" i="15" s="1"/>
  <c r="E4" i="23" s="1"/>
  <c r="F10" i="23"/>
  <c r="G6" i="21"/>
  <c r="G7" i="21" s="1"/>
  <c r="D17" i="21"/>
  <c r="E15" i="21" s="1"/>
  <c r="G7" i="20"/>
  <c r="J10" i="15"/>
  <c r="J11" i="15" s="1"/>
  <c r="J13" i="15" s="1"/>
  <c r="I11" i="15"/>
  <c r="I13" i="15" s="1"/>
  <c r="C4" i="23"/>
  <c r="C9" i="23"/>
  <c r="D9" i="23"/>
  <c r="F4" i="23"/>
  <c r="D15" i="15"/>
  <c r="G15" i="15" s="1"/>
  <c r="G13" i="15"/>
  <c r="F8" i="23" l="1"/>
  <c r="J5" i="19"/>
  <c r="G8" i="23" s="1"/>
  <c r="M7" i="15"/>
  <c r="M9" i="15" s="1"/>
  <c r="G4" i="23" s="1"/>
  <c r="H4" i="21"/>
  <c r="D15" i="23"/>
  <c r="G13" i="19"/>
  <c r="E16" i="21"/>
  <c r="K12" i="15"/>
  <c r="E5" i="23" s="1"/>
  <c r="I14" i="15"/>
  <c r="C6" i="23" s="1"/>
  <c r="C13" i="23" s="1"/>
  <c r="J14" i="15"/>
  <c r="D6" i="23" s="1"/>
  <c r="D13" i="23" s="1"/>
  <c r="H4" i="20"/>
  <c r="G6" i="19"/>
  <c r="H15" i="15"/>
  <c r="I15" i="15" l="1"/>
  <c r="F6" i="22" s="1"/>
  <c r="F7" i="22" s="1"/>
  <c r="C14" i="23" s="1"/>
  <c r="E17" i="21"/>
  <c r="F15" i="21" s="1"/>
  <c r="H6" i="21"/>
  <c r="H7" i="21" s="1"/>
  <c r="J15" i="15"/>
  <c r="G6" i="22" s="1"/>
  <c r="G7" i="22" s="1"/>
  <c r="D14" i="23" s="1"/>
  <c r="H6" i="20"/>
  <c r="E12" i="23" s="1"/>
  <c r="H5" i="20"/>
  <c r="K10" i="15" s="1"/>
  <c r="K11" i="15" s="1"/>
  <c r="K13" i="15" s="1"/>
  <c r="I4" i="21" l="1"/>
  <c r="E15" i="23"/>
  <c r="H13" i="19"/>
  <c r="F16" i="21"/>
  <c r="L12" i="15"/>
  <c r="F5" i="23" s="1"/>
  <c r="F8" i="22"/>
  <c r="G4" i="22" s="1"/>
  <c r="G8" i="22" s="1"/>
  <c r="K14" i="15"/>
  <c r="E6" i="23" s="1"/>
  <c r="E13" i="23" s="1"/>
  <c r="H7" i="20"/>
  <c r="C17" i="23" l="1"/>
  <c r="C18" i="23" s="1"/>
  <c r="F7" i="19" s="1"/>
  <c r="F9" i="19" s="1"/>
  <c r="F15" i="19"/>
  <c r="F16" i="19" s="1"/>
  <c r="K15" i="15"/>
  <c r="H6" i="22" s="1"/>
  <c r="H7" i="22" s="1"/>
  <c r="E14" i="23" s="1"/>
  <c r="F17" i="21"/>
  <c r="G15" i="21" s="1"/>
  <c r="I6" i="21"/>
  <c r="I7" i="21"/>
  <c r="I4" i="20"/>
  <c r="H6" i="19"/>
  <c r="D17" i="23"/>
  <c r="D18" i="23" s="1"/>
  <c r="G15" i="19"/>
  <c r="G16" i="19" s="1"/>
  <c r="H4" i="22"/>
  <c r="H8" i="22" l="1"/>
  <c r="E17" i="23" s="1"/>
  <c r="E18" i="23" s="1"/>
  <c r="G7" i="19"/>
  <c r="G9" i="19" s="1"/>
  <c r="G25" i="19" s="1"/>
  <c r="F25" i="19"/>
  <c r="J4" i="21"/>
  <c r="F15" i="23"/>
  <c r="I13" i="19"/>
  <c r="G16" i="21"/>
  <c r="M12" i="15"/>
  <c r="G5" i="23" s="1"/>
  <c r="I6" i="20"/>
  <c r="F12" i="23" s="1"/>
  <c r="I5" i="20"/>
  <c r="H15" i="19" l="1"/>
  <c r="H16" i="19" s="1"/>
  <c r="I4" i="22"/>
  <c r="H7" i="19"/>
  <c r="H9" i="19" s="1"/>
  <c r="G17" i="21"/>
  <c r="H15" i="21" s="1"/>
  <c r="H16" i="21" s="1"/>
  <c r="H17" i="21" s="1"/>
  <c r="J6" i="21"/>
  <c r="J7" i="21"/>
  <c r="I7" i="20"/>
  <c r="L10" i="15"/>
  <c r="L11" i="15" s="1"/>
  <c r="L13" i="15" s="1"/>
  <c r="H25" i="19" l="1"/>
  <c r="G15" i="23"/>
  <c r="J13" i="19"/>
  <c r="I15" i="21"/>
  <c r="I16" i="21" s="1"/>
  <c r="I17" i="21"/>
  <c r="J15" i="21" s="1"/>
  <c r="J16" i="21" s="1"/>
  <c r="J17" i="21" s="1"/>
  <c r="K15" i="21" s="1"/>
  <c r="K16" i="21" s="1"/>
  <c r="K17" i="21" s="1"/>
  <c r="L15" i="21" s="1"/>
  <c r="L16" i="21" s="1"/>
  <c r="L17" i="21" s="1"/>
  <c r="L14" i="15"/>
  <c r="F6" i="23" s="1"/>
  <c r="F13" i="23" s="1"/>
  <c r="J4" i="20"/>
  <c r="I6" i="19"/>
  <c r="L15" i="15" l="1"/>
  <c r="I6" i="22" s="1"/>
  <c r="I7" i="22" s="1"/>
  <c r="J6" i="20"/>
  <c r="G12" i="23" s="1"/>
  <c r="J5" i="20"/>
  <c r="F14" i="23" l="1"/>
  <c r="I8" i="22"/>
  <c r="F17" i="23" s="1"/>
  <c r="J7" i="20"/>
  <c r="J6" i="19" s="1"/>
  <c r="M10" i="15"/>
  <c r="M11" i="15" s="1"/>
  <c r="M13" i="15" s="1"/>
  <c r="J4" i="22" l="1"/>
  <c r="I15" i="19"/>
  <c r="I16" i="19" s="1"/>
  <c r="F18" i="23"/>
  <c r="I7" i="19" s="1"/>
  <c r="I9" i="19" s="1"/>
  <c r="M14" i="15"/>
  <c r="G6" i="23" s="1"/>
  <c r="G13" i="23" s="1"/>
  <c r="I25" i="19" l="1"/>
  <c r="M15" i="15"/>
  <c r="J6" i="22" s="1"/>
  <c r="J7" i="22" l="1"/>
  <c r="G14" i="23" s="1"/>
  <c r="J8" i="22" l="1"/>
  <c r="J15" i="19" l="1"/>
  <c r="J16" i="19" s="1"/>
  <c r="G17" i="23"/>
  <c r="G18" i="23" s="1"/>
  <c r="J7" i="19" s="1"/>
  <c r="J9" i="19" s="1"/>
  <c r="J25" i="19" l="1"/>
</calcChain>
</file>

<file path=xl/sharedStrings.xml><?xml version="1.0" encoding="utf-8"?>
<sst xmlns="http://schemas.openxmlformats.org/spreadsheetml/2006/main" count="2086" uniqueCount="179">
  <si>
    <t>Financials</t>
  </si>
  <si>
    <t>Amount</t>
  </si>
  <si>
    <t>Revenue - Supermarkets</t>
  </si>
  <si>
    <t>Revenue - Grocery</t>
  </si>
  <si>
    <t>Revenue - Discounters</t>
  </si>
  <si>
    <t>Date</t>
  </si>
  <si>
    <t>Revenue - Retail</t>
  </si>
  <si>
    <t>Cogs - Supermarkets</t>
  </si>
  <si>
    <t>Operating expenses</t>
  </si>
  <si>
    <t>Cogs - Discounters</t>
  </si>
  <si>
    <t>Cogs - Grocery</t>
  </si>
  <si>
    <t>Cogs - Retail</t>
  </si>
  <si>
    <t>D&amp;A</t>
  </si>
  <si>
    <t>Exercise --&gt;</t>
  </si>
  <si>
    <t>1.1.2014</t>
  </si>
  <si>
    <t>2.1.2014</t>
  </si>
  <si>
    <t>3.1.2014</t>
  </si>
  <si>
    <t>4.1.2014</t>
  </si>
  <si>
    <t>5.1.2014</t>
  </si>
  <si>
    <t>6.1.2014</t>
  </si>
  <si>
    <t>7.1.2014</t>
  </si>
  <si>
    <t>8.1.2014</t>
  </si>
  <si>
    <t>9.1.2014</t>
  </si>
  <si>
    <t>10.1.2014</t>
  </si>
  <si>
    <t>11.1.2014</t>
  </si>
  <si>
    <t>12.1.2014</t>
  </si>
  <si>
    <t>1.1.2015</t>
  </si>
  <si>
    <t>2.1.2015</t>
  </si>
  <si>
    <t>3.1.2015</t>
  </si>
  <si>
    <t>4.1.2015</t>
  </si>
  <si>
    <t>5.1.2015</t>
  </si>
  <si>
    <t>6.1.2015</t>
  </si>
  <si>
    <t>7.1.2015</t>
  </si>
  <si>
    <t>8.1.2015</t>
  </si>
  <si>
    <t>9.1.2015</t>
  </si>
  <si>
    <t>10.1.2015</t>
  </si>
  <si>
    <t>11.1.2015</t>
  </si>
  <si>
    <t>12.1.2015</t>
  </si>
  <si>
    <t>1.1.2016</t>
  </si>
  <si>
    <t>2.1.2016</t>
  </si>
  <si>
    <t>3.1.2016</t>
  </si>
  <si>
    <t>4.1.2016</t>
  </si>
  <si>
    <t>5.1.2016</t>
  </si>
  <si>
    <t>6.1.2016</t>
  </si>
  <si>
    <t>7.1.2016</t>
  </si>
  <si>
    <t>8.1.2016</t>
  </si>
  <si>
    <t>9.1.2016</t>
  </si>
  <si>
    <t>10.1.2016</t>
  </si>
  <si>
    <t>11.1.2016</t>
  </si>
  <si>
    <t>12.1.2016</t>
  </si>
  <si>
    <t>Interest expenses</t>
  </si>
  <si>
    <t>Taxes</t>
  </si>
  <si>
    <t>Other revenue</t>
  </si>
  <si>
    <t>Year</t>
  </si>
  <si>
    <t>Mapping</t>
  </si>
  <si>
    <t>Revenue</t>
  </si>
  <si>
    <t>Cost of goods sold</t>
  </si>
  <si>
    <t>P&amp;L</t>
  </si>
  <si>
    <t>Gross Profit</t>
  </si>
  <si>
    <t>EBITDA</t>
  </si>
  <si>
    <t>EBIT</t>
  </si>
  <si>
    <t>EBT</t>
  </si>
  <si>
    <t>Net Income</t>
  </si>
  <si>
    <t>$ in million</t>
  </si>
  <si>
    <t>Var %
14-15</t>
  </si>
  <si>
    <t>Var %
15-16</t>
  </si>
  <si>
    <t>$ in mln</t>
  </si>
  <si>
    <t>Receivables - Discounters</t>
  </si>
  <si>
    <t>Receivables - Other</t>
  </si>
  <si>
    <t>Receivables - Grocery</t>
  </si>
  <si>
    <t>Receivables - Retail</t>
  </si>
  <si>
    <t>Receivables - Supermarkets</t>
  </si>
  <si>
    <t>Trade Receivables</t>
  </si>
  <si>
    <t>Inventory - Discounters</t>
  </si>
  <si>
    <t>Inventory - Supermarkets</t>
  </si>
  <si>
    <t>Inventory - Grocery</t>
  </si>
  <si>
    <t>Inventory - Retail</t>
  </si>
  <si>
    <t>Inventory - Other</t>
  </si>
  <si>
    <t>Inventory</t>
  </si>
  <si>
    <t>PP&amp;E - Machinery</t>
  </si>
  <si>
    <t>PP&amp;E - Other</t>
  </si>
  <si>
    <t>PP&amp;E - IT</t>
  </si>
  <si>
    <t>PP&amp;E - Vehicles</t>
  </si>
  <si>
    <t>PP&amp;E</t>
  </si>
  <si>
    <t>Cash - Bank Accounts</t>
  </si>
  <si>
    <t>Cash - T-bills</t>
  </si>
  <si>
    <t>Cash - Cash at hand</t>
  </si>
  <si>
    <t>Cash</t>
  </si>
  <si>
    <t>Other assets</t>
  </si>
  <si>
    <t>Assets</t>
  </si>
  <si>
    <t>Trade Payables - Discounters</t>
  </si>
  <si>
    <t>Trade Payables - Other</t>
  </si>
  <si>
    <t>Trade Payables - Supermarkets</t>
  </si>
  <si>
    <t>Trade Payables - Grocery</t>
  </si>
  <si>
    <t>Trade Payables - Retail</t>
  </si>
  <si>
    <t>Trade Payables</t>
  </si>
  <si>
    <t>Provisions - Taxes</t>
  </si>
  <si>
    <t>Provisions - Legal</t>
  </si>
  <si>
    <t>Provisions - Other</t>
  </si>
  <si>
    <t>Provisions</t>
  </si>
  <si>
    <t>Financial Liabilities vs. Banks</t>
  </si>
  <si>
    <t>Financial Liabilities</t>
  </si>
  <si>
    <t>Other liabilities</t>
  </si>
  <si>
    <t>Retained Earnings</t>
  </si>
  <si>
    <t>Minority interest</t>
  </si>
  <si>
    <t>Share Capital</t>
  </si>
  <si>
    <t>Equity</t>
  </si>
  <si>
    <t>Liabilities &amp; Equity</t>
  </si>
  <si>
    <t>Code I</t>
  </si>
  <si>
    <t>R</t>
  </si>
  <si>
    <t>I</t>
  </si>
  <si>
    <t>P</t>
  </si>
  <si>
    <t>C</t>
  </si>
  <si>
    <t>O</t>
  </si>
  <si>
    <t>T</t>
  </si>
  <si>
    <t>F</t>
  </si>
  <si>
    <t>E</t>
  </si>
  <si>
    <t>Code II</t>
  </si>
  <si>
    <t>A</t>
  </si>
  <si>
    <t>L</t>
  </si>
  <si>
    <t>Balance Sheet</t>
  </si>
  <si>
    <t>Asset</t>
  </si>
  <si>
    <t>Liablity &amp; Equity</t>
  </si>
  <si>
    <t>Forecast</t>
  </si>
  <si>
    <t>Scenario</t>
  </si>
  <si>
    <t>Revenue % growth</t>
  </si>
  <si>
    <t>Best Case</t>
  </si>
  <si>
    <t>Base Case</t>
  </si>
  <si>
    <t>Worst Case</t>
  </si>
  <si>
    <t>Opex as % of revenue</t>
  </si>
  <si>
    <t>Selected Case</t>
  </si>
  <si>
    <t>Cogs as % Revenue</t>
  </si>
  <si>
    <t>Check</t>
  </si>
  <si>
    <t>DSO</t>
  </si>
  <si>
    <t>DPO</t>
  </si>
  <si>
    <t>DIO</t>
  </si>
  <si>
    <t>other assets %</t>
  </si>
  <si>
    <t>other liablity %</t>
  </si>
  <si>
    <t>Fixed Asset Roll Forward</t>
  </si>
  <si>
    <t>Beginning PP&amp;E</t>
  </si>
  <si>
    <t>Ending PP&amp;E</t>
  </si>
  <si>
    <t>CapeX</t>
  </si>
  <si>
    <t>D&amp;A as a % of beginning PP&amp;E</t>
  </si>
  <si>
    <t>Capex</t>
  </si>
  <si>
    <t>Capex as a % of Beginning PP&amp;E</t>
  </si>
  <si>
    <t>Financial Liablity</t>
  </si>
  <si>
    <t>Beginning Debt</t>
  </si>
  <si>
    <t>New Debt</t>
  </si>
  <si>
    <t>Principal Repayment</t>
  </si>
  <si>
    <t>Ending Debt</t>
  </si>
  <si>
    <t>Debt to repaid in (Year)</t>
  </si>
  <si>
    <t>Intrest Rate</t>
  </si>
  <si>
    <t>Annual Payment</t>
  </si>
  <si>
    <t>Peiord</t>
  </si>
  <si>
    <t>Payment</t>
  </si>
  <si>
    <t>Intrest Exp</t>
  </si>
  <si>
    <t>Debt repayment</t>
  </si>
  <si>
    <t>Residental Debt</t>
  </si>
  <si>
    <t>Taxes %</t>
  </si>
  <si>
    <t>Equity Schedule</t>
  </si>
  <si>
    <t>Beginning Equity</t>
  </si>
  <si>
    <t>Increase Capital</t>
  </si>
  <si>
    <t>Net Income (Loss)</t>
  </si>
  <si>
    <t>Dividents</t>
  </si>
  <si>
    <t>Ending Equity</t>
  </si>
  <si>
    <t>Divident as 40% of Net Income</t>
  </si>
  <si>
    <t>Cash Flow</t>
  </si>
  <si>
    <t>EBIDTA</t>
  </si>
  <si>
    <t>Tax</t>
  </si>
  <si>
    <t>Change in Trade receivable</t>
  </si>
  <si>
    <t>Change in Inventory</t>
  </si>
  <si>
    <t>Change in Trade Payable</t>
  </si>
  <si>
    <t>Change in Other Asset</t>
  </si>
  <si>
    <t>Change in Other Liablity</t>
  </si>
  <si>
    <t>Operating Cashflow</t>
  </si>
  <si>
    <t>Change in Finace Liablity</t>
  </si>
  <si>
    <t>Change in Provions</t>
  </si>
  <si>
    <t>Change in Equity</t>
  </si>
  <si>
    <t>Net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</si>
</sst>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_);\(#,##0.0\)"/>
    <numFmt numFmtId="166" formatCode="0.0%"/>
    <numFmt numFmtId="167" formatCode="_(* #,##0.0_);_(* \(#,##0.0\);_(* &quot;-&quot;??_);_(@_)"/>
    <numFmt numFmtId="168" formatCode="0.0"/>
    <numFmt numFmtId="169" formatCode="#,##0.0"/>
  </numFmts>
  <fonts count="13" x14ac:knownFonts="1"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b/>
      <sz val="30"/>
      <color rgb="FF002060"/>
      <name val="Arial"/>
      <family val="2"/>
      <charset val="204"/>
    </font>
    <font>
      <b/>
      <sz val="9"/>
      <color rgb="FF002060"/>
      <name val="Arial"/>
      <family val="2"/>
      <charset val="204"/>
    </font>
    <font>
      <b/>
      <sz val="9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8"/>
      <color theme="1"/>
      <name val="Arial"/>
      <family val="2"/>
    </font>
    <font>
      <b/>
      <sz val="8"/>
      <color rgb="FF002060"/>
      <name val="Arial"/>
      <family val="2"/>
    </font>
    <font>
      <b/>
      <sz val="8"/>
      <color theme="1"/>
      <name val="Arial"/>
      <family val="2"/>
    </font>
    <font>
      <sz val="8"/>
      <color theme="8" tint="-0.499984740745262"/>
      <name val="Arial"/>
      <family val="2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sz val="8"/>
      <color rgb="FF00206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mediumGray">
        <bgColor theme="2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3" fillId="2" borderId="1">
      <alignment horizontal="right"/>
    </xf>
    <xf numFmtId="165" fontId="1" fillId="2" borderId="0"/>
    <xf numFmtId="165" fontId="4" fillId="2" borderId="2"/>
    <xf numFmtId="165" fontId="4" fillId="2" borderId="3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/>
    <xf numFmtId="0" fontId="2" fillId="2" borderId="0" xfId="0" applyFont="1" applyFill="1"/>
    <xf numFmtId="17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/>
    <xf numFmtId="0" fontId="3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167" fontId="1" fillId="2" borderId="0" xfId="5" applyNumberFormat="1" applyFont="1" applyFill="1"/>
    <xf numFmtId="167" fontId="4" fillId="2" borderId="2" xfId="5" applyNumberFormat="1" applyFont="1" applyFill="1" applyBorder="1"/>
    <xf numFmtId="0" fontId="4" fillId="2" borderId="1" xfId="0" applyFont="1" applyFill="1" applyBorder="1"/>
    <xf numFmtId="0" fontId="4" fillId="2" borderId="0" xfId="0" applyFont="1" applyFill="1"/>
    <xf numFmtId="168" fontId="1" fillId="2" borderId="0" xfId="0" applyNumberFormat="1" applyFont="1" applyFill="1"/>
    <xf numFmtId="15" fontId="3" fillId="2" borderId="1" xfId="0" applyNumberFormat="1" applyFont="1" applyFill="1" applyBorder="1"/>
    <xf numFmtId="167" fontId="4" fillId="2" borderId="3" xfId="0" applyNumberFormat="1" applyFont="1" applyFill="1" applyBorder="1"/>
    <xf numFmtId="168" fontId="4" fillId="2" borderId="3" xfId="0" applyNumberFormat="1" applyFont="1" applyFill="1" applyBorder="1"/>
    <xf numFmtId="168" fontId="4" fillId="2" borderId="2" xfId="0" applyNumberFormat="1" applyFont="1" applyFill="1" applyBorder="1"/>
    <xf numFmtId="0" fontId="6" fillId="0" borderId="0" xfId="0" applyFont="1"/>
    <xf numFmtId="0" fontId="7" fillId="2" borderId="1" xfId="1" applyFont="1" applyAlignment="1">
      <alignment horizontal="left"/>
    </xf>
    <xf numFmtId="14" fontId="7" fillId="2" borderId="1" xfId="1" applyNumberFormat="1" applyFont="1">
      <alignment horizontal="right"/>
    </xf>
    <xf numFmtId="165" fontId="6" fillId="2" borderId="0" xfId="2" applyFont="1"/>
    <xf numFmtId="165" fontId="8" fillId="2" borderId="3" xfId="4" applyFont="1"/>
    <xf numFmtId="0" fontId="8" fillId="4" borderId="0" xfId="0" applyFont="1" applyFill="1"/>
    <xf numFmtId="0" fontId="6" fillId="2" borderId="0" xfId="0" applyFont="1" applyFill="1"/>
    <xf numFmtId="0" fontId="6" fillId="4" borderId="0" xfId="0" applyFont="1" applyFill="1"/>
    <xf numFmtId="0" fontId="7" fillId="4" borderId="0" xfId="0" applyFont="1" applyFill="1"/>
    <xf numFmtId="0" fontId="6" fillId="6" borderId="0" xfId="0" applyFont="1" applyFill="1"/>
    <xf numFmtId="2" fontId="6" fillId="4" borderId="0" xfId="0" applyNumberFormat="1" applyFont="1" applyFill="1"/>
    <xf numFmtId="9" fontId="6" fillId="4" borderId="0" xfId="6" applyFont="1" applyFill="1"/>
    <xf numFmtId="9" fontId="9" fillId="4" borderId="0" xfId="0" applyNumberFormat="1" applyFont="1" applyFill="1"/>
    <xf numFmtId="0" fontId="9" fillId="4" borderId="0" xfId="0" applyFont="1" applyFill="1"/>
    <xf numFmtId="9" fontId="9" fillId="4" borderId="0" xfId="6" applyFont="1" applyFill="1"/>
    <xf numFmtId="0" fontId="6" fillId="7" borderId="0" xfId="0" applyFont="1" applyFill="1"/>
    <xf numFmtId="169" fontId="6" fillId="7" borderId="0" xfId="0" applyNumberFormat="1" applyFont="1" applyFill="1"/>
    <xf numFmtId="10" fontId="6" fillId="4" borderId="0" xfId="6" applyNumberFormat="1" applyFont="1" applyFill="1"/>
    <xf numFmtId="2" fontId="6" fillId="0" borderId="0" xfId="0" applyNumberFormat="1" applyFont="1"/>
    <xf numFmtId="165" fontId="6" fillId="0" borderId="0" xfId="0" applyNumberFormat="1" applyFont="1"/>
    <xf numFmtId="0" fontId="7" fillId="2" borderId="0" xfId="0" applyFont="1" applyFill="1"/>
    <xf numFmtId="0" fontId="6" fillId="5" borderId="4" xfId="0" applyFont="1" applyFill="1" applyBorder="1"/>
    <xf numFmtId="0" fontId="7" fillId="2" borderId="1" xfId="1" applyFont="1">
      <alignment horizontal="right"/>
    </xf>
    <xf numFmtId="0" fontId="7" fillId="2" borderId="1" xfId="1" applyFont="1" applyAlignment="1">
      <alignment horizontal="right" wrapText="1"/>
    </xf>
    <xf numFmtId="166" fontId="6" fillId="2" borderId="0" xfId="6" applyNumberFormat="1" applyFont="1" applyFill="1"/>
    <xf numFmtId="10" fontId="6" fillId="2" borderId="0" xfId="6" applyNumberFormat="1" applyFont="1" applyFill="1"/>
    <xf numFmtId="165" fontId="8" fillId="2" borderId="2" xfId="3" applyFont="1"/>
    <xf numFmtId="166" fontId="8" fillId="2" borderId="2" xfId="6" applyNumberFormat="1" applyFont="1" applyFill="1" applyBorder="1"/>
    <xf numFmtId="166" fontId="8" fillId="2" borderId="3" xfId="6" applyNumberFormat="1" applyFont="1" applyFill="1" applyBorder="1"/>
    <xf numFmtId="9" fontId="12" fillId="4" borderId="0" xfId="0" applyNumberFormat="1" applyFont="1" applyFill="1"/>
    <xf numFmtId="0" fontId="7" fillId="0" borderId="0" xfId="0" applyFont="1"/>
    <xf numFmtId="0" fontId="6" fillId="8" borderId="0" xfId="0" applyFont="1" applyFill="1"/>
    <xf numFmtId="166" fontId="6" fillId="8" borderId="0" xfId="6" applyNumberFormat="1" applyFont="1" applyFill="1"/>
    <xf numFmtId="166" fontId="6" fillId="8" borderId="0" xfId="0" applyNumberFormat="1" applyFont="1" applyFill="1"/>
    <xf numFmtId="9" fontId="6" fillId="0" borderId="0" xfId="0" applyNumberFormat="1" applyFont="1"/>
    <xf numFmtId="17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11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</cellXfs>
  <cellStyles count="7">
    <cellStyle name="Comma" xfId="5" builtinId="3"/>
    <cellStyle name="General" xfId="2" xr:uid="{00000000-0005-0000-0000-000001000000}"/>
    <cellStyle name="Header" xfId="1" xr:uid="{00000000-0005-0000-0000-000002000000}"/>
    <cellStyle name="Normal" xfId="0" builtinId="0"/>
    <cellStyle name="Percent" xfId="6" builtinId="5"/>
    <cellStyle name="Subtotal" xfId="3" xr:uid="{00000000-0005-0000-0000-000005000000}"/>
    <cellStyle name="Total Formatting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6"/>
  <sheetViews>
    <sheetView workbookViewId="0"/>
  </sheetViews>
  <sheetFormatPr defaultRowHeight="14.5" x14ac:dyDescent="0.35"/>
  <cols>
    <col min="1" max="1" width="14.54296875" customWidth="1"/>
    <col min="2" max="2" width="38.1796875" customWidth="1"/>
  </cols>
  <sheetData>
    <row r="1" spans="1:3" x14ac:dyDescent="0.35">
      <c r="A1" t="s">
        <v>5</v>
      </c>
      <c r="B1" t="s">
        <v>0</v>
      </c>
      <c r="C1" s="5" t="s">
        <v>1</v>
      </c>
    </row>
    <row r="2" spans="1:3" x14ac:dyDescent="0.35">
      <c r="A2" s="4" t="s">
        <v>14</v>
      </c>
      <c r="B2" s="1" t="s">
        <v>2</v>
      </c>
      <c r="C2" s="5">
        <v>72</v>
      </c>
    </row>
    <row r="3" spans="1:3" x14ac:dyDescent="0.35">
      <c r="A3" s="4" t="s">
        <v>14</v>
      </c>
      <c r="B3" s="1" t="s">
        <v>7</v>
      </c>
      <c r="C3" s="5">
        <v>47</v>
      </c>
    </row>
    <row r="4" spans="1:3" x14ac:dyDescent="0.35">
      <c r="A4" s="4" t="s">
        <v>14</v>
      </c>
      <c r="B4" s="1" t="s">
        <v>4</v>
      </c>
      <c r="C4" s="5">
        <v>37</v>
      </c>
    </row>
    <row r="5" spans="1:3" x14ac:dyDescent="0.35">
      <c r="A5" s="4" t="s">
        <v>14</v>
      </c>
      <c r="B5" s="1" t="s">
        <v>9</v>
      </c>
      <c r="C5" s="5">
        <v>20</v>
      </c>
    </row>
    <row r="6" spans="1:3" x14ac:dyDescent="0.35">
      <c r="A6" s="4" t="s">
        <v>14</v>
      </c>
      <c r="B6" s="1" t="s">
        <v>3</v>
      </c>
      <c r="C6" s="5">
        <v>36</v>
      </c>
    </row>
    <row r="7" spans="1:3" x14ac:dyDescent="0.35">
      <c r="A7" s="4" t="s">
        <v>14</v>
      </c>
      <c r="B7" s="1" t="s">
        <v>10</v>
      </c>
      <c r="C7" s="5">
        <v>17</v>
      </c>
    </row>
    <row r="8" spans="1:3" x14ac:dyDescent="0.35">
      <c r="A8" s="4" t="s">
        <v>14</v>
      </c>
      <c r="B8" s="1" t="s">
        <v>6</v>
      </c>
      <c r="C8" s="5">
        <v>57</v>
      </c>
    </row>
    <row r="9" spans="1:3" x14ac:dyDescent="0.35">
      <c r="A9" s="4" t="s">
        <v>14</v>
      </c>
      <c r="B9" s="1" t="s">
        <v>11</v>
      </c>
      <c r="C9" s="5">
        <v>32</v>
      </c>
    </row>
    <row r="10" spans="1:3" x14ac:dyDescent="0.35">
      <c r="A10" s="4" t="s">
        <v>14</v>
      </c>
      <c r="B10" s="1" t="s">
        <v>8</v>
      </c>
      <c r="C10" s="5">
        <v>95.399999999999991</v>
      </c>
    </row>
    <row r="11" spans="1:3" x14ac:dyDescent="0.35">
      <c r="A11" s="4" t="s">
        <v>14</v>
      </c>
      <c r="B11" s="1" t="s">
        <v>12</v>
      </c>
      <c r="C11" s="5">
        <v>2</v>
      </c>
    </row>
    <row r="12" spans="1:3" x14ac:dyDescent="0.35">
      <c r="A12" s="4" t="s">
        <v>14</v>
      </c>
      <c r="B12" s="1" t="s">
        <v>50</v>
      </c>
      <c r="C12" s="5">
        <v>5</v>
      </c>
    </row>
    <row r="13" spans="1:3" x14ac:dyDescent="0.35">
      <c r="A13" s="4" t="s">
        <v>14</v>
      </c>
      <c r="B13" s="1" t="s">
        <v>51</v>
      </c>
      <c r="C13" s="6">
        <v>17.29</v>
      </c>
    </row>
    <row r="14" spans="1:3" x14ac:dyDescent="0.35">
      <c r="A14" s="4" t="s">
        <v>15</v>
      </c>
      <c r="B14" s="1" t="s">
        <v>2</v>
      </c>
      <c r="C14" s="5">
        <v>75</v>
      </c>
    </row>
    <row r="15" spans="1:3" x14ac:dyDescent="0.35">
      <c r="A15" s="4" t="s">
        <v>15</v>
      </c>
      <c r="B15" s="1" t="s">
        <v>7</v>
      </c>
      <c r="C15" s="5">
        <v>55</v>
      </c>
    </row>
    <row r="16" spans="1:3" x14ac:dyDescent="0.35">
      <c r="A16" s="4" t="s">
        <v>15</v>
      </c>
      <c r="B16" s="1" t="s">
        <v>4</v>
      </c>
      <c r="C16" s="5">
        <v>26</v>
      </c>
    </row>
    <row r="17" spans="1:3" x14ac:dyDescent="0.35">
      <c r="A17" s="4" t="s">
        <v>15</v>
      </c>
      <c r="B17" s="1" t="s">
        <v>9</v>
      </c>
      <c r="C17" s="5">
        <v>18</v>
      </c>
    </row>
    <row r="18" spans="1:3" x14ac:dyDescent="0.35">
      <c r="A18" s="4" t="s">
        <v>15</v>
      </c>
      <c r="B18" s="1" t="s">
        <v>3</v>
      </c>
      <c r="C18" s="5">
        <v>42</v>
      </c>
    </row>
    <row r="19" spans="1:3" x14ac:dyDescent="0.35">
      <c r="A19" s="4" t="s">
        <v>15</v>
      </c>
      <c r="B19" s="1" t="s">
        <v>10</v>
      </c>
      <c r="C19" s="5">
        <v>18</v>
      </c>
    </row>
    <row r="20" spans="1:3" x14ac:dyDescent="0.35">
      <c r="A20" s="4" t="s">
        <v>15</v>
      </c>
      <c r="B20" s="1" t="s">
        <v>6</v>
      </c>
      <c r="C20" s="5">
        <v>54</v>
      </c>
    </row>
    <row r="21" spans="1:3" x14ac:dyDescent="0.35">
      <c r="A21" s="4" t="s">
        <v>15</v>
      </c>
      <c r="B21" s="1" t="s">
        <v>11</v>
      </c>
      <c r="C21" s="5">
        <v>33</v>
      </c>
    </row>
    <row r="22" spans="1:3" x14ac:dyDescent="0.35">
      <c r="A22" s="4" t="s">
        <v>15</v>
      </c>
      <c r="B22" s="1" t="s">
        <v>8</v>
      </c>
      <c r="C22" s="5">
        <v>96.3</v>
      </c>
    </row>
    <row r="23" spans="1:3" x14ac:dyDescent="0.35">
      <c r="A23" s="4" t="s">
        <v>15</v>
      </c>
      <c r="B23" s="1" t="s">
        <v>12</v>
      </c>
      <c r="C23" s="5">
        <v>2</v>
      </c>
    </row>
    <row r="24" spans="1:3" x14ac:dyDescent="0.35">
      <c r="A24" s="4" t="s">
        <v>15</v>
      </c>
      <c r="B24" s="1" t="s">
        <v>50</v>
      </c>
      <c r="C24" s="5">
        <v>5</v>
      </c>
    </row>
    <row r="25" spans="1:3" x14ac:dyDescent="0.35">
      <c r="A25" s="4" t="s">
        <v>15</v>
      </c>
      <c r="B25" s="1" t="s">
        <v>51</v>
      </c>
      <c r="C25" s="6">
        <v>17</v>
      </c>
    </row>
    <row r="26" spans="1:3" x14ac:dyDescent="0.35">
      <c r="A26" s="4" t="s">
        <v>16</v>
      </c>
      <c r="B26" s="1" t="s">
        <v>2</v>
      </c>
      <c r="C26" s="5">
        <v>69</v>
      </c>
    </row>
    <row r="27" spans="1:3" x14ac:dyDescent="0.35">
      <c r="A27" s="4" t="s">
        <v>16</v>
      </c>
      <c r="B27" s="1" t="s">
        <v>7</v>
      </c>
      <c r="C27" s="5">
        <v>58</v>
      </c>
    </row>
    <row r="28" spans="1:3" x14ac:dyDescent="0.35">
      <c r="A28" s="4" t="s">
        <v>16</v>
      </c>
      <c r="B28" s="1" t="s">
        <v>4</v>
      </c>
      <c r="C28" s="5">
        <v>32</v>
      </c>
    </row>
    <row r="29" spans="1:3" x14ac:dyDescent="0.35">
      <c r="A29" s="4" t="s">
        <v>16</v>
      </c>
      <c r="B29" s="1" t="s">
        <v>9</v>
      </c>
      <c r="C29" s="5">
        <v>12</v>
      </c>
    </row>
    <row r="30" spans="1:3" x14ac:dyDescent="0.35">
      <c r="A30" s="4" t="s">
        <v>16</v>
      </c>
      <c r="B30" s="1" t="s">
        <v>3</v>
      </c>
      <c r="C30" s="5">
        <v>41</v>
      </c>
    </row>
    <row r="31" spans="1:3" x14ac:dyDescent="0.35">
      <c r="A31" s="4" t="s">
        <v>16</v>
      </c>
      <c r="B31" s="1" t="s">
        <v>10</v>
      </c>
      <c r="C31" s="5">
        <v>11</v>
      </c>
    </row>
    <row r="32" spans="1:3" x14ac:dyDescent="0.35">
      <c r="A32" s="4" t="s">
        <v>16</v>
      </c>
      <c r="B32" s="1" t="s">
        <v>6</v>
      </c>
      <c r="C32" s="5">
        <v>64</v>
      </c>
    </row>
    <row r="33" spans="1:3" x14ac:dyDescent="0.35">
      <c r="A33" s="4" t="s">
        <v>16</v>
      </c>
      <c r="B33" s="1" t="s">
        <v>11</v>
      </c>
      <c r="C33" s="5">
        <v>35</v>
      </c>
    </row>
    <row r="34" spans="1:3" x14ac:dyDescent="0.35">
      <c r="A34" s="4" t="s">
        <v>16</v>
      </c>
      <c r="B34" s="1" t="s">
        <v>8</v>
      </c>
      <c r="C34" s="5">
        <v>96.6</v>
      </c>
    </row>
    <row r="35" spans="1:3" x14ac:dyDescent="0.35">
      <c r="A35" s="4" t="s">
        <v>16</v>
      </c>
      <c r="B35" s="1" t="s">
        <v>12</v>
      </c>
      <c r="C35" s="5">
        <v>3</v>
      </c>
    </row>
    <row r="36" spans="1:3" x14ac:dyDescent="0.35">
      <c r="A36" s="4" t="s">
        <v>16</v>
      </c>
      <c r="B36" s="1" t="s">
        <v>50</v>
      </c>
      <c r="C36" s="5">
        <v>5</v>
      </c>
    </row>
    <row r="37" spans="1:3" x14ac:dyDescent="0.35">
      <c r="A37" s="4" t="s">
        <v>16</v>
      </c>
      <c r="B37" s="1" t="s">
        <v>51</v>
      </c>
      <c r="C37" s="6">
        <v>17.850000000000001</v>
      </c>
    </row>
    <row r="38" spans="1:3" x14ac:dyDescent="0.35">
      <c r="A38" s="4" t="s">
        <v>17</v>
      </c>
      <c r="B38" s="1" t="s">
        <v>2</v>
      </c>
      <c r="C38" s="5">
        <v>68</v>
      </c>
    </row>
    <row r="39" spans="1:3" x14ac:dyDescent="0.35">
      <c r="A39" s="4" t="s">
        <v>17</v>
      </c>
      <c r="B39" s="1" t="s">
        <v>7</v>
      </c>
      <c r="C39" s="5">
        <v>50</v>
      </c>
    </row>
    <row r="40" spans="1:3" x14ac:dyDescent="0.35">
      <c r="A40" s="4" t="s">
        <v>17</v>
      </c>
      <c r="B40" s="1" t="s">
        <v>4</v>
      </c>
      <c r="C40" s="5">
        <v>29</v>
      </c>
    </row>
    <row r="41" spans="1:3" x14ac:dyDescent="0.35">
      <c r="A41" s="4" t="s">
        <v>17</v>
      </c>
      <c r="B41" s="1" t="s">
        <v>9</v>
      </c>
      <c r="C41" s="5">
        <v>19</v>
      </c>
    </row>
    <row r="42" spans="1:3" x14ac:dyDescent="0.35">
      <c r="A42" s="4" t="s">
        <v>17</v>
      </c>
      <c r="B42" s="1" t="s">
        <v>3</v>
      </c>
      <c r="C42" s="5">
        <v>38</v>
      </c>
    </row>
    <row r="43" spans="1:3" x14ac:dyDescent="0.35">
      <c r="A43" s="4" t="s">
        <v>17</v>
      </c>
      <c r="B43" s="1" t="s">
        <v>10</v>
      </c>
      <c r="C43" s="5">
        <v>15</v>
      </c>
    </row>
    <row r="44" spans="1:3" x14ac:dyDescent="0.35">
      <c r="A44" s="4" t="s">
        <v>17</v>
      </c>
      <c r="B44" s="1" t="s">
        <v>6</v>
      </c>
      <c r="C44" s="5">
        <v>60</v>
      </c>
    </row>
    <row r="45" spans="1:3" x14ac:dyDescent="0.35">
      <c r="A45" s="4" t="s">
        <v>17</v>
      </c>
      <c r="B45" s="1" t="s">
        <v>11</v>
      </c>
      <c r="C45" s="5">
        <v>32</v>
      </c>
    </row>
    <row r="46" spans="1:3" x14ac:dyDescent="0.35">
      <c r="A46" s="4" t="s">
        <v>17</v>
      </c>
      <c r="B46" s="1" t="s">
        <v>8</v>
      </c>
      <c r="C46" s="5">
        <v>99.52</v>
      </c>
    </row>
    <row r="47" spans="1:3" x14ac:dyDescent="0.35">
      <c r="A47" s="4" t="s">
        <v>17</v>
      </c>
      <c r="B47" s="1" t="s">
        <v>12</v>
      </c>
      <c r="C47" s="5">
        <v>2</v>
      </c>
    </row>
    <row r="48" spans="1:3" x14ac:dyDescent="0.35">
      <c r="A48" s="4" t="s">
        <v>17</v>
      </c>
      <c r="B48" s="1" t="s">
        <v>50</v>
      </c>
      <c r="C48" s="5">
        <v>5</v>
      </c>
    </row>
    <row r="49" spans="1:3" x14ac:dyDescent="0.35">
      <c r="A49" s="4" t="s">
        <v>17</v>
      </c>
      <c r="B49" s="1" t="s">
        <v>51</v>
      </c>
      <c r="C49" s="6">
        <v>16.89</v>
      </c>
    </row>
    <row r="50" spans="1:3" x14ac:dyDescent="0.35">
      <c r="A50" s="4" t="s">
        <v>18</v>
      </c>
      <c r="B50" s="1" t="s">
        <v>2</v>
      </c>
      <c r="C50" s="5">
        <v>68</v>
      </c>
    </row>
    <row r="51" spans="1:3" x14ac:dyDescent="0.35">
      <c r="A51" s="4" t="s">
        <v>18</v>
      </c>
      <c r="B51" s="1" t="s">
        <v>7</v>
      </c>
      <c r="C51" s="5">
        <v>54</v>
      </c>
    </row>
    <row r="52" spans="1:3" x14ac:dyDescent="0.35">
      <c r="A52" s="4" t="s">
        <v>18</v>
      </c>
      <c r="B52" s="1" t="s">
        <v>4</v>
      </c>
      <c r="C52" s="5">
        <v>32</v>
      </c>
    </row>
    <row r="53" spans="1:3" x14ac:dyDescent="0.35">
      <c r="A53" s="4" t="s">
        <v>18</v>
      </c>
      <c r="B53" s="1" t="s">
        <v>9</v>
      </c>
      <c r="C53" s="5">
        <v>19</v>
      </c>
    </row>
    <row r="54" spans="1:3" x14ac:dyDescent="0.35">
      <c r="A54" s="4" t="s">
        <v>18</v>
      </c>
      <c r="B54" s="1" t="s">
        <v>3</v>
      </c>
      <c r="C54" s="5">
        <v>50</v>
      </c>
    </row>
    <row r="55" spans="1:3" x14ac:dyDescent="0.35">
      <c r="A55" s="4" t="s">
        <v>18</v>
      </c>
      <c r="B55" s="1" t="s">
        <v>10</v>
      </c>
      <c r="C55" s="5">
        <v>14</v>
      </c>
    </row>
    <row r="56" spans="1:3" x14ac:dyDescent="0.35">
      <c r="A56" s="4" t="s">
        <v>18</v>
      </c>
      <c r="B56" s="1" t="s">
        <v>6</v>
      </c>
      <c r="C56" s="5">
        <v>64</v>
      </c>
    </row>
    <row r="57" spans="1:3" x14ac:dyDescent="0.35">
      <c r="A57" s="4" t="s">
        <v>18</v>
      </c>
      <c r="B57" s="1" t="s">
        <v>11</v>
      </c>
      <c r="C57" s="5">
        <v>30</v>
      </c>
    </row>
    <row r="58" spans="1:3" x14ac:dyDescent="0.35">
      <c r="A58" s="4" t="s">
        <v>18</v>
      </c>
      <c r="B58" s="1" t="s">
        <v>8</v>
      </c>
      <c r="C58" s="5">
        <v>105.92</v>
      </c>
    </row>
    <row r="59" spans="1:3" x14ac:dyDescent="0.35">
      <c r="A59" s="4" t="s">
        <v>18</v>
      </c>
      <c r="B59" s="1" t="s">
        <v>12</v>
      </c>
      <c r="C59" s="5">
        <v>3</v>
      </c>
    </row>
    <row r="60" spans="1:3" x14ac:dyDescent="0.35">
      <c r="A60" s="4" t="s">
        <v>18</v>
      </c>
      <c r="B60" s="1" t="s">
        <v>50</v>
      </c>
      <c r="C60" s="5">
        <v>5</v>
      </c>
    </row>
    <row r="61" spans="1:3" x14ac:dyDescent="0.35">
      <c r="A61" s="4" t="s">
        <v>18</v>
      </c>
      <c r="B61" s="1" t="s">
        <v>51</v>
      </c>
      <c r="C61" s="6">
        <v>18.579999999999998</v>
      </c>
    </row>
    <row r="62" spans="1:3" x14ac:dyDescent="0.35">
      <c r="A62" s="4" t="s">
        <v>19</v>
      </c>
      <c r="B62" s="1" t="s">
        <v>2</v>
      </c>
      <c r="C62" s="5">
        <v>56</v>
      </c>
    </row>
    <row r="63" spans="1:3" x14ac:dyDescent="0.35">
      <c r="A63" s="4" t="s">
        <v>19</v>
      </c>
      <c r="B63" s="1" t="s">
        <v>7</v>
      </c>
      <c r="C63" s="5">
        <v>49</v>
      </c>
    </row>
    <row r="64" spans="1:3" x14ac:dyDescent="0.35">
      <c r="A64" s="4" t="s">
        <v>19</v>
      </c>
      <c r="B64" s="1" t="s">
        <v>4</v>
      </c>
      <c r="C64" s="5">
        <v>31</v>
      </c>
    </row>
    <row r="65" spans="1:3" x14ac:dyDescent="0.35">
      <c r="A65" s="4" t="s">
        <v>19</v>
      </c>
      <c r="B65" s="1" t="s">
        <v>9</v>
      </c>
      <c r="C65" s="5">
        <v>14</v>
      </c>
    </row>
    <row r="66" spans="1:3" x14ac:dyDescent="0.35">
      <c r="A66" s="4" t="s">
        <v>19</v>
      </c>
      <c r="B66" s="1" t="s">
        <v>3</v>
      </c>
      <c r="C66" s="5">
        <v>36</v>
      </c>
    </row>
    <row r="67" spans="1:3" x14ac:dyDescent="0.35">
      <c r="A67" s="4" t="s">
        <v>19</v>
      </c>
      <c r="B67" s="1" t="s">
        <v>10</v>
      </c>
      <c r="C67" s="5">
        <v>15</v>
      </c>
    </row>
    <row r="68" spans="1:3" x14ac:dyDescent="0.35">
      <c r="A68" s="4" t="s">
        <v>19</v>
      </c>
      <c r="B68" s="1" t="s">
        <v>6</v>
      </c>
      <c r="C68" s="5">
        <v>57</v>
      </c>
    </row>
    <row r="69" spans="1:3" x14ac:dyDescent="0.35">
      <c r="A69" s="4" t="s">
        <v>19</v>
      </c>
      <c r="B69" s="1" t="s">
        <v>11</v>
      </c>
      <c r="C69" s="5">
        <v>33</v>
      </c>
    </row>
    <row r="70" spans="1:3" x14ac:dyDescent="0.35">
      <c r="A70" s="4" t="s">
        <v>19</v>
      </c>
      <c r="B70" s="1" t="s">
        <v>8</v>
      </c>
      <c r="C70" s="5">
        <v>93.12</v>
      </c>
    </row>
    <row r="71" spans="1:3" x14ac:dyDescent="0.35">
      <c r="A71" s="4" t="s">
        <v>19</v>
      </c>
      <c r="B71" s="1" t="s">
        <v>12</v>
      </c>
      <c r="C71" s="5">
        <v>3</v>
      </c>
    </row>
    <row r="72" spans="1:3" x14ac:dyDescent="0.35">
      <c r="A72" s="4" t="s">
        <v>19</v>
      </c>
      <c r="B72" s="1" t="s">
        <v>50</v>
      </c>
      <c r="C72" s="5">
        <v>4</v>
      </c>
    </row>
    <row r="73" spans="1:3" x14ac:dyDescent="0.35">
      <c r="A73" s="4" t="s">
        <v>19</v>
      </c>
      <c r="B73" s="1" t="s">
        <v>51</v>
      </c>
      <c r="C73" s="6">
        <v>15.59</v>
      </c>
    </row>
    <row r="74" spans="1:3" x14ac:dyDescent="0.35">
      <c r="A74" s="4" t="s">
        <v>20</v>
      </c>
      <c r="B74" s="1" t="s">
        <v>2</v>
      </c>
      <c r="C74" s="5">
        <v>66</v>
      </c>
    </row>
    <row r="75" spans="1:3" x14ac:dyDescent="0.35">
      <c r="A75" s="4" t="s">
        <v>20</v>
      </c>
      <c r="B75" s="1" t="s">
        <v>7</v>
      </c>
      <c r="C75" s="5">
        <v>55</v>
      </c>
    </row>
    <row r="76" spans="1:3" x14ac:dyDescent="0.35">
      <c r="A76" s="4" t="s">
        <v>20</v>
      </c>
      <c r="B76" s="1" t="s">
        <v>4</v>
      </c>
      <c r="C76" s="5">
        <v>38</v>
      </c>
    </row>
    <row r="77" spans="1:3" x14ac:dyDescent="0.35">
      <c r="A77" s="4" t="s">
        <v>20</v>
      </c>
      <c r="B77" s="1" t="s">
        <v>9</v>
      </c>
      <c r="C77" s="5">
        <v>17</v>
      </c>
    </row>
    <row r="78" spans="1:3" x14ac:dyDescent="0.35">
      <c r="A78" s="4" t="s">
        <v>20</v>
      </c>
      <c r="B78" s="1" t="s">
        <v>3</v>
      </c>
      <c r="C78" s="5">
        <v>43</v>
      </c>
    </row>
    <row r="79" spans="1:3" x14ac:dyDescent="0.35">
      <c r="A79" s="4" t="s">
        <v>20</v>
      </c>
      <c r="B79" s="1" t="s">
        <v>10</v>
      </c>
      <c r="C79" s="5">
        <v>17</v>
      </c>
    </row>
    <row r="80" spans="1:3" x14ac:dyDescent="0.35">
      <c r="A80" s="4" t="s">
        <v>20</v>
      </c>
      <c r="B80" s="1" t="s">
        <v>6</v>
      </c>
      <c r="C80" s="5">
        <v>68</v>
      </c>
    </row>
    <row r="81" spans="1:3" x14ac:dyDescent="0.35">
      <c r="A81" s="4" t="s">
        <v>20</v>
      </c>
      <c r="B81" s="1" t="s">
        <v>11</v>
      </c>
      <c r="C81" s="5">
        <v>33</v>
      </c>
    </row>
    <row r="82" spans="1:3" x14ac:dyDescent="0.35">
      <c r="A82" s="4" t="s">
        <v>20</v>
      </c>
      <c r="B82" s="1" t="s">
        <v>8</v>
      </c>
      <c r="C82" s="5">
        <v>114.58000000000001</v>
      </c>
    </row>
    <row r="83" spans="1:3" x14ac:dyDescent="0.35">
      <c r="A83" s="4" t="s">
        <v>20</v>
      </c>
      <c r="B83" s="1" t="s">
        <v>12</v>
      </c>
      <c r="C83" s="5">
        <v>3</v>
      </c>
    </row>
    <row r="84" spans="1:3" x14ac:dyDescent="0.35">
      <c r="A84" s="4" t="s">
        <v>20</v>
      </c>
      <c r="B84" s="1" t="s">
        <v>50</v>
      </c>
      <c r="C84" s="5">
        <v>4</v>
      </c>
    </row>
    <row r="85" spans="1:3" x14ac:dyDescent="0.35">
      <c r="A85" s="4" t="s">
        <v>20</v>
      </c>
      <c r="B85" s="1" t="s">
        <v>51</v>
      </c>
      <c r="C85" s="6">
        <v>18.61</v>
      </c>
    </row>
    <row r="86" spans="1:3" x14ac:dyDescent="0.35">
      <c r="A86" s="4" t="s">
        <v>21</v>
      </c>
      <c r="B86" s="1" t="s">
        <v>2</v>
      </c>
      <c r="C86" s="5">
        <v>57</v>
      </c>
    </row>
    <row r="87" spans="1:3" x14ac:dyDescent="0.35">
      <c r="A87" s="4" t="s">
        <v>21</v>
      </c>
      <c r="B87" s="1" t="s">
        <v>7</v>
      </c>
      <c r="C87" s="5">
        <v>52</v>
      </c>
    </row>
    <row r="88" spans="1:3" x14ac:dyDescent="0.35">
      <c r="A88" s="4" t="s">
        <v>21</v>
      </c>
      <c r="B88" s="1" t="s">
        <v>4</v>
      </c>
      <c r="C88" s="5">
        <v>35</v>
      </c>
    </row>
    <row r="89" spans="1:3" x14ac:dyDescent="0.35">
      <c r="A89" s="4" t="s">
        <v>21</v>
      </c>
      <c r="B89" s="1" t="s">
        <v>9</v>
      </c>
      <c r="C89" s="5">
        <v>19</v>
      </c>
    </row>
    <row r="90" spans="1:3" x14ac:dyDescent="0.35">
      <c r="A90" s="4" t="s">
        <v>21</v>
      </c>
      <c r="B90" s="1" t="s">
        <v>3</v>
      </c>
      <c r="C90" s="5">
        <v>38</v>
      </c>
    </row>
    <row r="91" spans="1:3" x14ac:dyDescent="0.35">
      <c r="A91" s="4" t="s">
        <v>21</v>
      </c>
      <c r="B91" s="1" t="s">
        <v>10</v>
      </c>
      <c r="C91" s="5">
        <v>16</v>
      </c>
    </row>
    <row r="92" spans="1:3" x14ac:dyDescent="0.35">
      <c r="A92" s="4" t="s">
        <v>21</v>
      </c>
      <c r="B92" s="1" t="s">
        <v>6</v>
      </c>
      <c r="C92" s="5">
        <v>57</v>
      </c>
    </row>
    <row r="93" spans="1:3" x14ac:dyDescent="0.35">
      <c r="A93" s="4" t="s">
        <v>21</v>
      </c>
      <c r="B93" s="1" t="s">
        <v>11</v>
      </c>
      <c r="C93" s="5">
        <v>33</v>
      </c>
    </row>
    <row r="94" spans="1:3" x14ac:dyDescent="0.35">
      <c r="A94" s="4" t="s">
        <v>21</v>
      </c>
      <c r="B94" s="1" t="s">
        <v>8</v>
      </c>
      <c r="C94" s="5">
        <v>104.38000000000001</v>
      </c>
    </row>
    <row r="95" spans="1:3" x14ac:dyDescent="0.35">
      <c r="A95" s="4" t="s">
        <v>21</v>
      </c>
      <c r="B95" s="1" t="s">
        <v>12</v>
      </c>
      <c r="C95" s="5">
        <v>3</v>
      </c>
    </row>
    <row r="96" spans="1:3" x14ac:dyDescent="0.35">
      <c r="A96" s="4" t="s">
        <v>21</v>
      </c>
      <c r="B96" s="1" t="s">
        <v>50</v>
      </c>
      <c r="C96" s="5">
        <v>5</v>
      </c>
    </row>
    <row r="97" spans="1:3" x14ac:dyDescent="0.35">
      <c r="A97" s="4" t="s">
        <v>21</v>
      </c>
      <c r="B97" s="1" t="s">
        <v>51</v>
      </c>
      <c r="C97" s="6">
        <v>16.13</v>
      </c>
    </row>
    <row r="98" spans="1:3" x14ac:dyDescent="0.35">
      <c r="A98" s="4" t="s">
        <v>22</v>
      </c>
      <c r="B98" s="1" t="s">
        <v>2</v>
      </c>
      <c r="C98" s="5">
        <v>60</v>
      </c>
    </row>
    <row r="99" spans="1:3" x14ac:dyDescent="0.35">
      <c r="A99" s="4" t="s">
        <v>22</v>
      </c>
      <c r="B99" s="1" t="s">
        <v>7</v>
      </c>
      <c r="C99" s="5">
        <v>57</v>
      </c>
    </row>
    <row r="100" spans="1:3" x14ac:dyDescent="0.35">
      <c r="A100" s="4" t="s">
        <v>22</v>
      </c>
      <c r="B100" s="1" t="s">
        <v>4</v>
      </c>
      <c r="C100" s="5">
        <v>28</v>
      </c>
    </row>
    <row r="101" spans="1:3" x14ac:dyDescent="0.35">
      <c r="A101" s="4" t="s">
        <v>22</v>
      </c>
      <c r="B101" s="1" t="s">
        <v>9</v>
      </c>
      <c r="C101" s="5">
        <v>11</v>
      </c>
    </row>
    <row r="102" spans="1:3" x14ac:dyDescent="0.35">
      <c r="A102" s="4" t="s">
        <v>22</v>
      </c>
      <c r="B102" s="1" t="s">
        <v>3</v>
      </c>
      <c r="C102" s="5">
        <v>44</v>
      </c>
    </row>
    <row r="103" spans="1:3" x14ac:dyDescent="0.35">
      <c r="A103" s="4" t="s">
        <v>22</v>
      </c>
      <c r="B103" s="1" t="s">
        <v>10</v>
      </c>
      <c r="C103" s="5">
        <v>12</v>
      </c>
    </row>
    <row r="104" spans="1:3" x14ac:dyDescent="0.35">
      <c r="A104" s="4" t="s">
        <v>22</v>
      </c>
      <c r="B104" s="1" t="s">
        <v>6</v>
      </c>
      <c r="C104" s="5">
        <v>67</v>
      </c>
    </row>
    <row r="105" spans="1:3" x14ac:dyDescent="0.35">
      <c r="A105" s="4" t="s">
        <v>22</v>
      </c>
      <c r="B105" s="1" t="s">
        <v>11</v>
      </c>
      <c r="C105" s="5">
        <v>31</v>
      </c>
    </row>
    <row r="106" spans="1:3" x14ac:dyDescent="0.35">
      <c r="A106" s="4" t="s">
        <v>22</v>
      </c>
      <c r="B106" s="1" t="s">
        <v>8</v>
      </c>
      <c r="C106" s="5">
        <v>108.5</v>
      </c>
    </row>
    <row r="107" spans="1:3" x14ac:dyDescent="0.35">
      <c r="A107" s="4" t="s">
        <v>22</v>
      </c>
      <c r="B107" s="1" t="s">
        <v>12</v>
      </c>
      <c r="C107" s="5">
        <v>2</v>
      </c>
    </row>
    <row r="108" spans="1:3" x14ac:dyDescent="0.35">
      <c r="A108" s="4" t="s">
        <v>22</v>
      </c>
      <c r="B108" s="1" t="s">
        <v>50</v>
      </c>
      <c r="C108" s="5">
        <v>4</v>
      </c>
    </row>
    <row r="109" spans="1:3" x14ac:dyDescent="0.35">
      <c r="A109" s="4" t="s">
        <v>22</v>
      </c>
      <c r="B109" s="1" t="s">
        <v>51</v>
      </c>
      <c r="C109" s="6">
        <v>17.419999999999998</v>
      </c>
    </row>
    <row r="110" spans="1:3" x14ac:dyDescent="0.35">
      <c r="A110" s="4" t="s">
        <v>23</v>
      </c>
      <c r="B110" s="1" t="s">
        <v>2</v>
      </c>
      <c r="C110" s="5">
        <v>59</v>
      </c>
    </row>
    <row r="111" spans="1:3" x14ac:dyDescent="0.35">
      <c r="A111" s="4" t="s">
        <v>23</v>
      </c>
      <c r="B111" s="1" t="s">
        <v>7</v>
      </c>
      <c r="C111" s="5">
        <v>57</v>
      </c>
    </row>
    <row r="112" spans="1:3" x14ac:dyDescent="0.35">
      <c r="A112" s="4" t="s">
        <v>23</v>
      </c>
      <c r="B112" s="1" t="s">
        <v>4</v>
      </c>
      <c r="C112" s="5">
        <v>40</v>
      </c>
    </row>
    <row r="113" spans="1:3" x14ac:dyDescent="0.35">
      <c r="A113" s="4" t="s">
        <v>23</v>
      </c>
      <c r="B113" s="1" t="s">
        <v>9</v>
      </c>
      <c r="C113" s="5">
        <v>11</v>
      </c>
    </row>
    <row r="114" spans="1:3" x14ac:dyDescent="0.35">
      <c r="A114" s="4" t="s">
        <v>23</v>
      </c>
      <c r="B114" s="1" t="s">
        <v>3</v>
      </c>
      <c r="C114" s="5">
        <v>35</v>
      </c>
    </row>
    <row r="115" spans="1:3" x14ac:dyDescent="0.35">
      <c r="A115" s="4" t="s">
        <v>23</v>
      </c>
      <c r="B115" s="1" t="s">
        <v>10</v>
      </c>
      <c r="C115" s="5">
        <v>15</v>
      </c>
    </row>
    <row r="116" spans="1:3" x14ac:dyDescent="0.35">
      <c r="A116" s="4" t="s">
        <v>23</v>
      </c>
      <c r="B116" s="1" t="s">
        <v>6</v>
      </c>
      <c r="C116" s="5">
        <v>61</v>
      </c>
    </row>
    <row r="117" spans="1:3" x14ac:dyDescent="0.35">
      <c r="A117" s="4" t="s">
        <v>23</v>
      </c>
      <c r="B117" s="1" t="s">
        <v>11</v>
      </c>
      <c r="C117" s="5">
        <v>35</v>
      </c>
    </row>
    <row r="118" spans="1:3" x14ac:dyDescent="0.35">
      <c r="A118" s="4" t="s">
        <v>23</v>
      </c>
      <c r="B118" s="1" t="s">
        <v>8</v>
      </c>
      <c r="C118" s="5">
        <v>97.03</v>
      </c>
    </row>
    <row r="119" spans="1:3" x14ac:dyDescent="0.35">
      <c r="A119" s="4" t="s">
        <v>23</v>
      </c>
      <c r="B119" s="1" t="s">
        <v>12</v>
      </c>
      <c r="C119" s="5">
        <v>3</v>
      </c>
    </row>
    <row r="120" spans="1:3" x14ac:dyDescent="0.35">
      <c r="A120" s="4" t="s">
        <v>23</v>
      </c>
      <c r="B120" s="1" t="s">
        <v>50</v>
      </c>
      <c r="C120" s="5">
        <v>4</v>
      </c>
    </row>
    <row r="121" spans="1:3" x14ac:dyDescent="0.35">
      <c r="A121" s="4" t="s">
        <v>23</v>
      </c>
      <c r="B121" s="1" t="s">
        <v>51</v>
      </c>
      <c r="C121" s="6">
        <v>16.77</v>
      </c>
    </row>
    <row r="122" spans="1:3" x14ac:dyDescent="0.35">
      <c r="A122" s="4" t="s">
        <v>24</v>
      </c>
      <c r="B122" s="1" t="s">
        <v>2</v>
      </c>
      <c r="C122" s="5">
        <v>69</v>
      </c>
    </row>
    <row r="123" spans="1:3" x14ac:dyDescent="0.35">
      <c r="A123" s="4" t="s">
        <v>24</v>
      </c>
      <c r="B123" s="1" t="s">
        <v>7</v>
      </c>
      <c r="C123" s="5">
        <v>45</v>
      </c>
    </row>
    <row r="124" spans="1:3" x14ac:dyDescent="0.35">
      <c r="A124" s="4" t="s">
        <v>24</v>
      </c>
      <c r="B124" s="1" t="s">
        <v>4</v>
      </c>
      <c r="C124" s="5">
        <v>25</v>
      </c>
    </row>
    <row r="125" spans="1:3" x14ac:dyDescent="0.35">
      <c r="A125" s="4" t="s">
        <v>24</v>
      </c>
      <c r="B125" s="1" t="s">
        <v>9</v>
      </c>
      <c r="C125" s="5">
        <v>17</v>
      </c>
    </row>
    <row r="126" spans="1:3" x14ac:dyDescent="0.35">
      <c r="A126" s="4" t="s">
        <v>24</v>
      </c>
      <c r="B126" s="1" t="s">
        <v>3</v>
      </c>
      <c r="C126" s="5">
        <v>45</v>
      </c>
    </row>
    <row r="127" spans="1:3" x14ac:dyDescent="0.35">
      <c r="A127" s="4" t="s">
        <v>24</v>
      </c>
      <c r="B127" s="1" t="s">
        <v>10</v>
      </c>
      <c r="C127" s="5">
        <v>10</v>
      </c>
    </row>
    <row r="128" spans="1:3" x14ac:dyDescent="0.35">
      <c r="A128" s="4" t="s">
        <v>24</v>
      </c>
      <c r="B128" s="1" t="s">
        <v>6</v>
      </c>
      <c r="C128" s="5">
        <v>63</v>
      </c>
    </row>
    <row r="129" spans="1:3" x14ac:dyDescent="0.35">
      <c r="A129" s="4" t="s">
        <v>24</v>
      </c>
      <c r="B129" s="1" t="s">
        <v>11</v>
      </c>
      <c r="C129" s="5">
        <v>31</v>
      </c>
    </row>
    <row r="130" spans="1:3" x14ac:dyDescent="0.35">
      <c r="A130" s="4" t="s">
        <v>24</v>
      </c>
      <c r="B130" s="1" t="s">
        <v>8</v>
      </c>
      <c r="C130" s="5">
        <v>97.600000000000009</v>
      </c>
    </row>
    <row r="131" spans="1:3" x14ac:dyDescent="0.35">
      <c r="A131" s="4" t="s">
        <v>24</v>
      </c>
      <c r="B131" s="1" t="s">
        <v>12</v>
      </c>
      <c r="C131" s="5">
        <v>2</v>
      </c>
    </row>
    <row r="132" spans="1:3" x14ac:dyDescent="0.35">
      <c r="A132" s="4" t="s">
        <v>24</v>
      </c>
      <c r="B132" s="1" t="s">
        <v>50</v>
      </c>
      <c r="C132" s="5">
        <v>5</v>
      </c>
    </row>
    <row r="133" spans="1:3" x14ac:dyDescent="0.35">
      <c r="A133" s="4" t="s">
        <v>24</v>
      </c>
      <c r="B133" s="1" t="s">
        <v>51</v>
      </c>
      <c r="C133" s="6">
        <v>17.62</v>
      </c>
    </row>
    <row r="134" spans="1:3" x14ac:dyDescent="0.35">
      <c r="A134" s="4" t="s">
        <v>25</v>
      </c>
      <c r="B134" s="1" t="s">
        <v>2</v>
      </c>
      <c r="C134" s="5">
        <v>74</v>
      </c>
    </row>
    <row r="135" spans="1:3" x14ac:dyDescent="0.35">
      <c r="A135" s="4" t="s">
        <v>25</v>
      </c>
      <c r="B135" s="1" t="s">
        <v>7</v>
      </c>
      <c r="C135" s="5">
        <v>55</v>
      </c>
    </row>
    <row r="136" spans="1:3" x14ac:dyDescent="0.35">
      <c r="A136" s="4" t="s">
        <v>25</v>
      </c>
      <c r="B136" s="1" t="s">
        <v>4</v>
      </c>
      <c r="C136" s="5">
        <v>31</v>
      </c>
    </row>
    <row r="137" spans="1:3" x14ac:dyDescent="0.35">
      <c r="A137" s="4" t="s">
        <v>25</v>
      </c>
      <c r="B137" s="1" t="s">
        <v>9</v>
      </c>
      <c r="C137" s="5">
        <v>19</v>
      </c>
    </row>
    <row r="138" spans="1:3" x14ac:dyDescent="0.35">
      <c r="A138" s="4" t="s">
        <v>25</v>
      </c>
      <c r="B138" s="1" t="s">
        <v>3</v>
      </c>
      <c r="C138" s="5">
        <v>42</v>
      </c>
    </row>
    <row r="139" spans="1:3" x14ac:dyDescent="0.35">
      <c r="A139" s="4" t="s">
        <v>25</v>
      </c>
      <c r="B139" s="1" t="s">
        <v>10</v>
      </c>
      <c r="C139" s="5">
        <v>19</v>
      </c>
    </row>
    <row r="140" spans="1:3" x14ac:dyDescent="0.35">
      <c r="A140" s="4" t="s">
        <v>25</v>
      </c>
      <c r="B140" s="1" t="s">
        <v>6</v>
      </c>
      <c r="C140" s="5">
        <v>59</v>
      </c>
    </row>
    <row r="141" spans="1:3" x14ac:dyDescent="0.35">
      <c r="A141" s="4" t="s">
        <v>25</v>
      </c>
      <c r="B141" s="1" t="s">
        <v>11</v>
      </c>
      <c r="C141" s="5">
        <v>34</v>
      </c>
    </row>
    <row r="142" spans="1:3" x14ac:dyDescent="0.35">
      <c r="A142" s="4" t="s">
        <v>25</v>
      </c>
      <c r="B142" s="1" t="s">
        <v>8</v>
      </c>
      <c r="C142" s="5">
        <v>103.23</v>
      </c>
    </row>
    <row r="143" spans="1:3" x14ac:dyDescent="0.35">
      <c r="A143" s="4" t="s">
        <v>25</v>
      </c>
      <c r="B143" s="1" t="s">
        <v>12</v>
      </c>
      <c r="C143" s="5">
        <v>3</v>
      </c>
    </row>
    <row r="144" spans="1:3" x14ac:dyDescent="0.35">
      <c r="A144" s="4" t="s">
        <v>25</v>
      </c>
      <c r="B144" s="1" t="s">
        <v>50</v>
      </c>
      <c r="C144" s="5">
        <v>5</v>
      </c>
    </row>
    <row r="145" spans="1:3" x14ac:dyDescent="0.35">
      <c r="A145" s="4" t="s">
        <v>25</v>
      </c>
      <c r="B145" s="1" t="s">
        <v>51</v>
      </c>
      <c r="C145" s="6">
        <v>17.77</v>
      </c>
    </row>
    <row r="146" spans="1:3" x14ac:dyDescent="0.35">
      <c r="A146" s="4" t="s">
        <v>26</v>
      </c>
      <c r="B146" s="1" t="s">
        <v>2</v>
      </c>
      <c r="C146" s="5">
        <v>56</v>
      </c>
    </row>
    <row r="147" spans="1:3" x14ac:dyDescent="0.35">
      <c r="A147" s="4" t="s">
        <v>26</v>
      </c>
      <c r="B147" s="1" t="s">
        <v>7</v>
      </c>
      <c r="C147" s="5">
        <v>49</v>
      </c>
    </row>
    <row r="148" spans="1:3" x14ac:dyDescent="0.35">
      <c r="A148" s="4" t="s">
        <v>26</v>
      </c>
      <c r="B148" s="1" t="s">
        <v>4</v>
      </c>
      <c r="C148" s="5">
        <v>38</v>
      </c>
    </row>
    <row r="149" spans="1:3" x14ac:dyDescent="0.35">
      <c r="A149" s="4" t="s">
        <v>26</v>
      </c>
      <c r="B149" s="1" t="s">
        <v>9</v>
      </c>
      <c r="C149" s="5">
        <v>13</v>
      </c>
    </row>
    <row r="150" spans="1:3" x14ac:dyDescent="0.35">
      <c r="A150" s="4" t="s">
        <v>26</v>
      </c>
      <c r="B150" s="1" t="s">
        <v>3</v>
      </c>
      <c r="C150" s="5">
        <v>49</v>
      </c>
    </row>
    <row r="151" spans="1:3" x14ac:dyDescent="0.35">
      <c r="A151" s="4" t="s">
        <v>26</v>
      </c>
      <c r="B151" s="1" t="s">
        <v>10</v>
      </c>
      <c r="C151" s="5">
        <v>13</v>
      </c>
    </row>
    <row r="152" spans="1:3" x14ac:dyDescent="0.35">
      <c r="A152" s="4" t="s">
        <v>26</v>
      </c>
      <c r="B152" s="1" t="s">
        <v>6</v>
      </c>
      <c r="C152" s="5">
        <v>67</v>
      </c>
    </row>
    <row r="153" spans="1:3" x14ac:dyDescent="0.35">
      <c r="A153" s="4" t="s">
        <v>26</v>
      </c>
      <c r="B153" s="1" t="s">
        <v>11</v>
      </c>
      <c r="C153" s="5">
        <v>30</v>
      </c>
    </row>
    <row r="154" spans="1:3" x14ac:dyDescent="0.35">
      <c r="A154" s="4" t="s">
        <v>26</v>
      </c>
      <c r="B154" s="1" t="s">
        <v>8</v>
      </c>
      <c r="C154" s="5">
        <v>107.10000000000001</v>
      </c>
    </row>
    <row r="155" spans="1:3" x14ac:dyDescent="0.35">
      <c r="A155" s="4" t="s">
        <v>26</v>
      </c>
      <c r="B155" s="1" t="s">
        <v>12</v>
      </c>
      <c r="C155" s="5">
        <v>4</v>
      </c>
    </row>
    <row r="156" spans="1:3" x14ac:dyDescent="0.35">
      <c r="A156" s="4" t="s">
        <v>26</v>
      </c>
      <c r="B156" s="1" t="s">
        <v>50</v>
      </c>
      <c r="C156" s="5">
        <v>6</v>
      </c>
    </row>
    <row r="157" spans="1:3" x14ac:dyDescent="0.35">
      <c r="A157" s="4" t="s">
        <v>26</v>
      </c>
      <c r="B157" s="1" t="s">
        <v>51</v>
      </c>
      <c r="C157" s="6">
        <v>18.25</v>
      </c>
    </row>
    <row r="158" spans="1:3" x14ac:dyDescent="0.35">
      <c r="A158" s="4" t="s">
        <v>27</v>
      </c>
      <c r="B158" s="1" t="s">
        <v>2</v>
      </c>
      <c r="C158" s="5">
        <v>73</v>
      </c>
    </row>
    <row r="159" spans="1:3" x14ac:dyDescent="0.35">
      <c r="A159" s="4" t="s">
        <v>27</v>
      </c>
      <c r="B159" s="1" t="s">
        <v>7</v>
      </c>
      <c r="C159" s="5">
        <v>60</v>
      </c>
    </row>
    <row r="160" spans="1:3" x14ac:dyDescent="0.35">
      <c r="A160" s="4" t="s">
        <v>27</v>
      </c>
      <c r="B160" s="1" t="s">
        <v>4</v>
      </c>
      <c r="C160" s="5">
        <v>40</v>
      </c>
    </row>
    <row r="161" spans="1:3" x14ac:dyDescent="0.35">
      <c r="A161" s="4" t="s">
        <v>27</v>
      </c>
      <c r="B161" s="1" t="s">
        <v>9</v>
      </c>
      <c r="C161" s="5">
        <v>15</v>
      </c>
    </row>
    <row r="162" spans="1:3" x14ac:dyDescent="0.35">
      <c r="A162" s="4" t="s">
        <v>27</v>
      </c>
      <c r="B162" s="1" t="s">
        <v>3</v>
      </c>
      <c r="C162" s="5">
        <v>41</v>
      </c>
    </row>
    <row r="163" spans="1:3" x14ac:dyDescent="0.35">
      <c r="A163" s="4" t="s">
        <v>27</v>
      </c>
      <c r="B163" s="1" t="s">
        <v>10</v>
      </c>
      <c r="C163" s="5">
        <v>12</v>
      </c>
    </row>
    <row r="164" spans="1:3" x14ac:dyDescent="0.35">
      <c r="A164" s="4" t="s">
        <v>27</v>
      </c>
      <c r="B164" s="1" t="s">
        <v>6</v>
      </c>
      <c r="C164" s="5">
        <v>59</v>
      </c>
    </row>
    <row r="165" spans="1:3" x14ac:dyDescent="0.35">
      <c r="A165" s="4" t="s">
        <v>27</v>
      </c>
      <c r="B165" s="1" t="s">
        <v>11</v>
      </c>
      <c r="C165" s="5">
        <v>35</v>
      </c>
    </row>
    <row r="166" spans="1:3" x14ac:dyDescent="0.35">
      <c r="A166" s="4" t="s">
        <v>27</v>
      </c>
      <c r="B166" s="1" t="s">
        <v>8</v>
      </c>
      <c r="C166" s="5">
        <v>107.2</v>
      </c>
    </row>
    <row r="167" spans="1:3" x14ac:dyDescent="0.35">
      <c r="A167" s="4" t="s">
        <v>27</v>
      </c>
      <c r="B167" s="1" t="s">
        <v>12</v>
      </c>
      <c r="C167" s="5">
        <v>3</v>
      </c>
    </row>
    <row r="168" spans="1:3" x14ac:dyDescent="0.35">
      <c r="A168" s="4" t="s">
        <v>27</v>
      </c>
      <c r="B168" s="1" t="s">
        <v>50</v>
      </c>
      <c r="C168" s="5">
        <v>5</v>
      </c>
    </row>
    <row r="169" spans="1:3" x14ac:dyDescent="0.35">
      <c r="A169" s="4" t="s">
        <v>27</v>
      </c>
      <c r="B169" s="1" t="s">
        <v>51</v>
      </c>
      <c r="C169" s="6">
        <v>18.23</v>
      </c>
    </row>
    <row r="170" spans="1:3" x14ac:dyDescent="0.35">
      <c r="A170" s="4" t="s">
        <v>28</v>
      </c>
      <c r="B170" s="1" t="s">
        <v>2</v>
      </c>
      <c r="C170" s="5">
        <v>55</v>
      </c>
    </row>
    <row r="171" spans="1:3" x14ac:dyDescent="0.35">
      <c r="A171" s="4" t="s">
        <v>28</v>
      </c>
      <c r="B171" s="1" t="s">
        <v>7</v>
      </c>
      <c r="C171" s="5">
        <v>49</v>
      </c>
    </row>
    <row r="172" spans="1:3" x14ac:dyDescent="0.35">
      <c r="A172" s="4" t="s">
        <v>28</v>
      </c>
      <c r="B172" s="1" t="s">
        <v>4</v>
      </c>
      <c r="C172" s="5">
        <v>37</v>
      </c>
    </row>
    <row r="173" spans="1:3" x14ac:dyDescent="0.35">
      <c r="A173" s="4" t="s">
        <v>28</v>
      </c>
      <c r="B173" s="1" t="s">
        <v>9</v>
      </c>
      <c r="C173" s="5">
        <v>20</v>
      </c>
    </row>
    <row r="174" spans="1:3" x14ac:dyDescent="0.35">
      <c r="A174" s="4" t="s">
        <v>28</v>
      </c>
      <c r="B174" s="1" t="s">
        <v>3</v>
      </c>
      <c r="C174" s="5">
        <v>46</v>
      </c>
    </row>
    <row r="175" spans="1:3" x14ac:dyDescent="0.35">
      <c r="A175" s="4" t="s">
        <v>28</v>
      </c>
      <c r="B175" s="1" t="s">
        <v>10</v>
      </c>
      <c r="C175" s="5">
        <v>18</v>
      </c>
    </row>
    <row r="176" spans="1:3" x14ac:dyDescent="0.35">
      <c r="A176" s="4" t="s">
        <v>28</v>
      </c>
      <c r="B176" s="1" t="s">
        <v>6</v>
      </c>
      <c r="C176" s="5">
        <v>56</v>
      </c>
    </row>
    <row r="177" spans="1:3" x14ac:dyDescent="0.35">
      <c r="A177" s="4" t="s">
        <v>28</v>
      </c>
      <c r="B177" s="1" t="s">
        <v>11</v>
      </c>
      <c r="C177" s="5">
        <v>35</v>
      </c>
    </row>
    <row r="178" spans="1:3" x14ac:dyDescent="0.35">
      <c r="A178" s="4" t="s">
        <v>28</v>
      </c>
      <c r="B178" s="1" t="s">
        <v>8</v>
      </c>
      <c r="C178" s="5">
        <v>104.28</v>
      </c>
    </row>
    <row r="179" spans="1:3" x14ac:dyDescent="0.35">
      <c r="A179" s="4" t="s">
        <v>28</v>
      </c>
      <c r="B179" s="1" t="s">
        <v>12</v>
      </c>
      <c r="C179" s="5">
        <v>4</v>
      </c>
    </row>
    <row r="180" spans="1:3" x14ac:dyDescent="0.35">
      <c r="A180" s="4" t="s">
        <v>28</v>
      </c>
      <c r="B180" s="1" t="s">
        <v>50</v>
      </c>
      <c r="C180" s="5">
        <v>6</v>
      </c>
    </row>
    <row r="181" spans="1:3" x14ac:dyDescent="0.35">
      <c r="A181" s="4" t="s">
        <v>28</v>
      </c>
      <c r="B181" s="1" t="s">
        <v>51</v>
      </c>
      <c r="C181" s="6">
        <v>16.73</v>
      </c>
    </row>
    <row r="182" spans="1:3" x14ac:dyDescent="0.35">
      <c r="A182" s="4" t="s">
        <v>29</v>
      </c>
      <c r="B182" s="1" t="s">
        <v>2</v>
      </c>
      <c r="C182" s="5">
        <v>56</v>
      </c>
    </row>
    <row r="183" spans="1:3" x14ac:dyDescent="0.35">
      <c r="A183" s="4" t="s">
        <v>29</v>
      </c>
      <c r="B183" s="1" t="s">
        <v>7</v>
      </c>
      <c r="C183" s="5">
        <v>47</v>
      </c>
    </row>
    <row r="184" spans="1:3" x14ac:dyDescent="0.35">
      <c r="A184" s="4" t="s">
        <v>29</v>
      </c>
      <c r="B184" s="1" t="s">
        <v>4</v>
      </c>
      <c r="C184" s="5">
        <v>38</v>
      </c>
    </row>
    <row r="185" spans="1:3" x14ac:dyDescent="0.35">
      <c r="A185" s="4" t="s">
        <v>29</v>
      </c>
      <c r="B185" s="1" t="s">
        <v>9</v>
      </c>
      <c r="C185" s="5">
        <v>13</v>
      </c>
    </row>
    <row r="186" spans="1:3" x14ac:dyDescent="0.35">
      <c r="A186" s="4" t="s">
        <v>29</v>
      </c>
      <c r="B186" s="1" t="s">
        <v>3</v>
      </c>
      <c r="C186" s="5">
        <v>41</v>
      </c>
    </row>
    <row r="187" spans="1:3" x14ac:dyDescent="0.35">
      <c r="A187" s="4" t="s">
        <v>29</v>
      </c>
      <c r="B187" s="1" t="s">
        <v>10</v>
      </c>
      <c r="C187" s="5">
        <v>18</v>
      </c>
    </row>
    <row r="188" spans="1:3" x14ac:dyDescent="0.35">
      <c r="A188" s="4" t="s">
        <v>29</v>
      </c>
      <c r="B188" s="1" t="s">
        <v>6</v>
      </c>
      <c r="C188" s="5">
        <v>57</v>
      </c>
    </row>
    <row r="189" spans="1:3" x14ac:dyDescent="0.35">
      <c r="A189" s="4" t="s">
        <v>29</v>
      </c>
      <c r="B189" s="1" t="s">
        <v>11</v>
      </c>
      <c r="C189" s="5">
        <v>32</v>
      </c>
    </row>
    <row r="190" spans="1:3" x14ac:dyDescent="0.35">
      <c r="A190" s="4" t="s">
        <v>29</v>
      </c>
      <c r="B190" s="1" t="s">
        <v>8</v>
      </c>
      <c r="C190" s="5">
        <v>105.69999999999999</v>
      </c>
    </row>
    <row r="191" spans="1:3" x14ac:dyDescent="0.35">
      <c r="A191" s="4" t="s">
        <v>29</v>
      </c>
      <c r="B191" s="1" t="s">
        <v>12</v>
      </c>
      <c r="C191" s="5">
        <v>3</v>
      </c>
    </row>
    <row r="192" spans="1:3" x14ac:dyDescent="0.35">
      <c r="A192" s="4" t="s">
        <v>29</v>
      </c>
      <c r="B192" s="1" t="s">
        <v>50</v>
      </c>
      <c r="C192" s="5">
        <v>5</v>
      </c>
    </row>
    <row r="193" spans="1:3" x14ac:dyDescent="0.35">
      <c r="A193" s="4" t="s">
        <v>29</v>
      </c>
      <c r="B193" s="1" t="s">
        <v>51</v>
      </c>
      <c r="C193" s="6">
        <v>16.53</v>
      </c>
    </row>
    <row r="194" spans="1:3" x14ac:dyDescent="0.35">
      <c r="A194" s="4" t="s">
        <v>30</v>
      </c>
      <c r="B194" s="1" t="s">
        <v>2</v>
      </c>
      <c r="C194" s="5">
        <v>62</v>
      </c>
    </row>
    <row r="195" spans="1:3" x14ac:dyDescent="0.35">
      <c r="A195" s="4" t="s">
        <v>30</v>
      </c>
      <c r="B195" s="1" t="s">
        <v>7</v>
      </c>
      <c r="C195" s="5">
        <v>46</v>
      </c>
    </row>
    <row r="196" spans="1:3" x14ac:dyDescent="0.35">
      <c r="A196" s="4" t="s">
        <v>30</v>
      </c>
      <c r="B196" s="1" t="s">
        <v>4</v>
      </c>
      <c r="C196" s="5">
        <v>37</v>
      </c>
    </row>
    <row r="197" spans="1:3" x14ac:dyDescent="0.35">
      <c r="A197" s="4" t="s">
        <v>30</v>
      </c>
      <c r="B197" s="1" t="s">
        <v>9</v>
      </c>
      <c r="C197" s="5">
        <v>18</v>
      </c>
    </row>
    <row r="198" spans="1:3" x14ac:dyDescent="0.35">
      <c r="A198" s="4" t="s">
        <v>30</v>
      </c>
      <c r="B198" s="1" t="s">
        <v>3</v>
      </c>
      <c r="C198" s="5">
        <v>35</v>
      </c>
    </row>
    <row r="199" spans="1:3" x14ac:dyDescent="0.35">
      <c r="A199" s="4" t="s">
        <v>30</v>
      </c>
      <c r="B199" s="1" t="s">
        <v>10</v>
      </c>
      <c r="C199" s="5">
        <v>17</v>
      </c>
    </row>
    <row r="200" spans="1:3" x14ac:dyDescent="0.35">
      <c r="A200" s="4" t="s">
        <v>30</v>
      </c>
      <c r="B200" s="1" t="s">
        <v>6</v>
      </c>
      <c r="C200" s="5">
        <v>57</v>
      </c>
    </row>
    <row r="201" spans="1:3" x14ac:dyDescent="0.35">
      <c r="A201" s="4" t="s">
        <v>30</v>
      </c>
      <c r="B201" s="1" t="s">
        <v>11</v>
      </c>
      <c r="C201" s="5">
        <v>32</v>
      </c>
    </row>
    <row r="202" spans="1:3" x14ac:dyDescent="0.35">
      <c r="A202" s="4" t="s">
        <v>30</v>
      </c>
      <c r="B202" s="1" t="s">
        <v>8</v>
      </c>
      <c r="C202" s="5">
        <v>109.44</v>
      </c>
    </row>
    <row r="203" spans="1:3" x14ac:dyDescent="0.35">
      <c r="A203" s="4" t="s">
        <v>30</v>
      </c>
      <c r="B203" s="1" t="s">
        <v>12</v>
      </c>
      <c r="C203" s="5">
        <v>3</v>
      </c>
    </row>
    <row r="204" spans="1:3" x14ac:dyDescent="0.35">
      <c r="A204" s="4" t="s">
        <v>30</v>
      </c>
      <c r="B204" s="1" t="s">
        <v>50</v>
      </c>
      <c r="C204" s="5">
        <v>5</v>
      </c>
    </row>
    <row r="205" spans="1:3" x14ac:dyDescent="0.35">
      <c r="A205" s="4" t="s">
        <v>30</v>
      </c>
      <c r="B205" s="1" t="s">
        <v>51</v>
      </c>
      <c r="C205" s="6">
        <v>16.400000000000002</v>
      </c>
    </row>
    <row r="206" spans="1:3" x14ac:dyDescent="0.35">
      <c r="A206" s="4" t="s">
        <v>31</v>
      </c>
      <c r="B206" s="1" t="s">
        <v>2</v>
      </c>
      <c r="C206" s="5">
        <v>70</v>
      </c>
    </row>
    <row r="207" spans="1:3" x14ac:dyDescent="0.35">
      <c r="A207" s="4" t="s">
        <v>31</v>
      </c>
      <c r="B207" s="1" t="s">
        <v>7</v>
      </c>
      <c r="C207" s="5">
        <v>56</v>
      </c>
    </row>
    <row r="208" spans="1:3" x14ac:dyDescent="0.35">
      <c r="A208" s="4" t="s">
        <v>31</v>
      </c>
      <c r="B208" s="1" t="s">
        <v>4</v>
      </c>
      <c r="C208" s="5">
        <v>33</v>
      </c>
    </row>
    <row r="209" spans="1:3" x14ac:dyDescent="0.35">
      <c r="A209" s="4" t="s">
        <v>31</v>
      </c>
      <c r="B209" s="1" t="s">
        <v>9</v>
      </c>
      <c r="C209" s="5">
        <v>16</v>
      </c>
    </row>
    <row r="210" spans="1:3" x14ac:dyDescent="0.35">
      <c r="A210" s="4" t="s">
        <v>31</v>
      </c>
      <c r="B210" s="1" t="s">
        <v>3</v>
      </c>
      <c r="C210" s="5">
        <v>49</v>
      </c>
    </row>
    <row r="211" spans="1:3" x14ac:dyDescent="0.35">
      <c r="A211" s="4" t="s">
        <v>31</v>
      </c>
      <c r="B211" s="1" t="s">
        <v>10</v>
      </c>
      <c r="C211" s="5">
        <v>17</v>
      </c>
    </row>
    <row r="212" spans="1:3" x14ac:dyDescent="0.35">
      <c r="A212" s="4" t="s">
        <v>31</v>
      </c>
      <c r="B212" s="1" t="s">
        <v>6</v>
      </c>
      <c r="C212" s="5">
        <v>64</v>
      </c>
    </row>
    <row r="213" spans="1:3" x14ac:dyDescent="0.35">
      <c r="A213" s="4" t="s">
        <v>31</v>
      </c>
      <c r="B213" s="1" t="s">
        <v>11</v>
      </c>
      <c r="C213" s="5">
        <v>33</v>
      </c>
    </row>
    <row r="214" spans="1:3" x14ac:dyDescent="0.35">
      <c r="A214" s="4" t="s">
        <v>31</v>
      </c>
      <c r="B214" s="1" t="s">
        <v>8</v>
      </c>
      <c r="C214" s="5">
        <v>104.78</v>
      </c>
    </row>
    <row r="215" spans="1:3" x14ac:dyDescent="0.35">
      <c r="A215" s="4" t="s">
        <v>31</v>
      </c>
      <c r="B215" s="1" t="s">
        <v>12</v>
      </c>
      <c r="C215" s="5">
        <v>4</v>
      </c>
    </row>
    <row r="216" spans="1:3" x14ac:dyDescent="0.35">
      <c r="A216" s="4" t="s">
        <v>31</v>
      </c>
      <c r="B216" s="1" t="s">
        <v>50</v>
      </c>
      <c r="C216" s="5">
        <v>6</v>
      </c>
    </row>
    <row r="217" spans="1:3" x14ac:dyDescent="0.35">
      <c r="A217" s="4" t="s">
        <v>31</v>
      </c>
      <c r="B217" s="1" t="s">
        <v>51</v>
      </c>
      <c r="C217" s="6">
        <v>18.72</v>
      </c>
    </row>
    <row r="218" spans="1:3" x14ac:dyDescent="0.35">
      <c r="A218" s="4" t="s">
        <v>32</v>
      </c>
      <c r="B218" s="1" t="s">
        <v>2</v>
      </c>
      <c r="C218" s="5">
        <v>68</v>
      </c>
    </row>
    <row r="219" spans="1:3" x14ac:dyDescent="0.35">
      <c r="A219" s="4" t="s">
        <v>32</v>
      </c>
      <c r="B219" s="1" t="s">
        <v>7</v>
      </c>
      <c r="C219" s="5">
        <v>52</v>
      </c>
    </row>
    <row r="220" spans="1:3" x14ac:dyDescent="0.35">
      <c r="A220" s="4" t="s">
        <v>32</v>
      </c>
      <c r="B220" s="1" t="s">
        <v>4</v>
      </c>
      <c r="C220" s="5">
        <v>33</v>
      </c>
    </row>
    <row r="221" spans="1:3" x14ac:dyDescent="0.35">
      <c r="A221" s="4" t="s">
        <v>32</v>
      </c>
      <c r="B221" s="1" t="s">
        <v>9</v>
      </c>
      <c r="C221" s="5">
        <v>16</v>
      </c>
    </row>
    <row r="222" spans="1:3" x14ac:dyDescent="0.35">
      <c r="A222" s="4" t="s">
        <v>32</v>
      </c>
      <c r="B222" s="1" t="s">
        <v>3</v>
      </c>
      <c r="C222" s="5">
        <v>40</v>
      </c>
    </row>
    <row r="223" spans="1:3" x14ac:dyDescent="0.35">
      <c r="A223" s="4" t="s">
        <v>32</v>
      </c>
      <c r="B223" s="1" t="s">
        <v>10</v>
      </c>
      <c r="C223" s="5">
        <v>15</v>
      </c>
    </row>
    <row r="224" spans="1:3" x14ac:dyDescent="0.35">
      <c r="A224" s="4" t="s">
        <v>32</v>
      </c>
      <c r="B224" s="1" t="s">
        <v>6</v>
      </c>
      <c r="C224" s="5">
        <v>55</v>
      </c>
    </row>
    <row r="225" spans="1:3" x14ac:dyDescent="0.35">
      <c r="A225" s="4" t="s">
        <v>32</v>
      </c>
      <c r="B225" s="1" t="s">
        <v>11</v>
      </c>
      <c r="C225" s="5">
        <v>31</v>
      </c>
    </row>
    <row r="226" spans="1:3" x14ac:dyDescent="0.35">
      <c r="A226" s="4" t="s">
        <v>32</v>
      </c>
      <c r="B226" s="1" t="s">
        <v>8</v>
      </c>
      <c r="C226" s="5">
        <v>99.2</v>
      </c>
    </row>
    <row r="227" spans="1:3" x14ac:dyDescent="0.35">
      <c r="A227" s="4" t="s">
        <v>32</v>
      </c>
      <c r="B227" s="1" t="s">
        <v>12</v>
      </c>
      <c r="C227" s="5">
        <v>4</v>
      </c>
    </row>
    <row r="228" spans="1:3" x14ac:dyDescent="0.35">
      <c r="A228" s="4" t="s">
        <v>32</v>
      </c>
      <c r="B228" s="1" t="s">
        <v>50</v>
      </c>
      <c r="C228" s="5">
        <v>5</v>
      </c>
    </row>
    <row r="229" spans="1:3" x14ac:dyDescent="0.35">
      <c r="A229" s="4" t="s">
        <v>32</v>
      </c>
      <c r="B229" s="1" t="s">
        <v>51</v>
      </c>
      <c r="C229" s="6">
        <v>16.850000000000001</v>
      </c>
    </row>
    <row r="230" spans="1:3" x14ac:dyDescent="0.35">
      <c r="A230" s="4" t="s">
        <v>33</v>
      </c>
      <c r="B230" s="1" t="s">
        <v>2</v>
      </c>
      <c r="C230" s="5">
        <v>69</v>
      </c>
    </row>
    <row r="231" spans="1:3" x14ac:dyDescent="0.35">
      <c r="A231" s="4" t="s">
        <v>33</v>
      </c>
      <c r="B231" s="1" t="s">
        <v>7</v>
      </c>
      <c r="C231" s="5">
        <v>48</v>
      </c>
    </row>
    <row r="232" spans="1:3" x14ac:dyDescent="0.35">
      <c r="A232" s="4" t="s">
        <v>33</v>
      </c>
      <c r="B232" s="1" t="s">
        <v>4</v>
      </c>
      <c r="C232" s="5">
        <v>39</v>
      </c>
    </row>
    <row r="233" spans="1:3" x14ac:dyDescent="0.35">
      <c r="A233" s="4" t="s">
        <v>33</v>
      </c>
      <c r="B233" s="1" t="s">
        <v>9</v>
      </c>
      <c r="C233" s="5">
        <v>20</v>
      </c>
    </row>
    <row r="234" spans="1:3" x14ac:dyDescent="0.35">
      <c r="A234" s="4" t="s">
        <v>33</v>
      </c>
      <c r="B234" s="1" t="s">
        <v>3</v>
      </c>
      <c r="C234" s="5">
        <v>50</v>
      </c>
    </row>
    <row r="235" spans="1:3" x14ac:dyDescent="0.35">
      <c r="A235" s="4" t="s">
        <v>33</v>
      </c>
      <c r="B235" s="1" t="s">
        <v>10</v>
      </c>
      <c r="C235" s="5">
        <v>15</v>
      </c>
    </row>
    <row r="236" spans="1:3" x14ac:dyDescent="0.35">
      <c r="A236" s="4" t="s">
        <v>33</v>
      </c>
      <c r="B236" s="1" t="s">
        <v>6</v>
      </c>
      <c r="C236" s="5">
        <v>64</v>
      </c>
    </row>
    <row r="237" spans="1:3" x14ac:dyDescent="0.35">
      <c r="A237" s="4" t="s">
        <v>33</v>
      </c>
      <c r="B237" s="1" t="s">
        <v>11</v>
      </c>
      <c r="C237" s="5">
        <v>32</v>
      </c>
    </row>
    <row r="238" spans="1:3" x14ac:dyDescent="0.35">
      <c r="A238" s="4" t="s">
        <v>33</v>
      </c>
      <c r="B238" s="1" t="s">
        <v>8</v>
      </c>
      <c r="C238" s="5">
        <v>104.47</v>
      </c>
    </row>
    <row r="239" spans="1:3" x14ac:dyDescent="0.35">
      <c r="A239" s="4" t="s">
        <v>33</v>
      </c>
      <c r="B239" s="1" t="s">
        <v>12</v>
      </c>
      <c r="C239" s="5">
        <v>4</v>
      </c>
    </row>
    <row r="240" spans="1:3" x14ac:dyDescent="0.35">
      <c r="A240" s="4" t="s">
        <v>33</v>
      </c>
      <c r="B240" s="1" t="s">
        <v>50</v>
      </c>
      <c r="C240" s="5">
        <v>5</v>
      </c>
    </row>
    <row r="241" spans="1:3" x14ac:dyDescent="0.35">
      <c r="A241" s="4" t="s">
        <v>33</v>
      </c>
      <c r="B241" s="1" t="s">
        <v>51</v>
      </c>
      <c r="C241" s="6">
        <v>19.149999999999999</v>
      </c>
    </row>
    <row r="242" spans="1:3" x14ac:dyDescent="0.35">
      <c r="A242" s="4" t="s">
        <v>34</v>
      </c>
      <c r="B242" s="1" t="s">
        <v>2</v>
      </c>
      <c r="C242" s="5">
        <v>57</v>
      </c>
    </row>
    <row r="243" spans="1:3" x14ac:dyDescent="0.35">
      <c r="A243" s="4" t="s">
        <v>34</v>
      </c>
      <c r="B243" s="1" t="s">
        <v>7</v>
      </c>
      <c r="C243" s="5">
        <v>53</v>
      </c>
    </row>
    <row r="244" spans="1:3" x14ac:dyDescent="0.35">
      <c r="A244" s="4" t="s">
        <v>34</v>
      </c>
      <c r="B244" s="1" t="s">
        <v>4</v>
      </c>
      <c r="C244" s="5">
        <v>28</v>
      </c>
    </row>
    <row r="245" spans="1:3" x14ac:dyDescent="0.35">
      <c r="A245" s="4" t="s">
        <v>34</v>
      </c>
      <c r="B245" s="1" t="s">
        <v>9</v>
      </c>
      <c r="C245" s="5">
        <v>17</v>
      </c>
    </row>
    <row r="246" spans="1:3" x14ac:dyDescent="0.35">
      <c r="A246" s="4" t="s">
        <v>34</v>
      </c>
      <c r="B246" s="1" t="s">
        <v>3</v>
      </c>
      <c r="C246" s="5">
        <v>42</v>
      </c>
    </row>
    <row r="247" spans="1:3" x14ac:dyDescent="0.35">
      <c r="A247" s="4" t="s">
        <v>34</v>
      </c>
      <c r="B247" s="1" t="s">
        <v>10</v>
      </c>
      <c r="C247" s="5">
        <v>14</v>
      </c>
    </row>
    <row r="248" spans="1:3" x14ac:dyDescent="0.35">
      <c r="A248" s="4" t="s">
        <v>34</v>
      </c>
      <c r="B248" s="1" t="s">
        <v>6</v>
      </c>
      <c r="C248" s="5">
        <v>57</v>
      </c>
    </row>
    <row r="249" spans="1:3" x14ac:dyDescent="0.35">
      <c r="A249" s="4" t="s">
        <v>34</v>
      </c>
      <c r="B249" s="1" t="s">
        <v>11</v>
      </c>
      <c r="C249" s="5">
        <v>32</v>
      </c>
    </row>
    <row r="250" spans="1:3" x14ac:dyDescent="0.35">
      <c r="A250" s="4" t="s">
        <v>34</v>
      </c>
      <c r="B250" s="1" t="s">
        <v>8</v>
      </c>
      <c r="C250" s="5">
        <v>96</v>
      </c>
    </row>
    <row r="251" spans="1:3" x14ac:dyDescent="0.35">
      <c r="A251" s="4" t="s">
        <v>34</v>
      </c>
      <c r="B251" s="1" t="s">
        <v>12</v>
      </c>
      <c r="C251" s="5">
        <v>4</v>
      </c>
    </row>
    <row r="252" spans="1:3" x14ac:dyDescent="0.35">
      <c r="A252" s="4" t="s">
        <v>34</v>
      </c>
      <c r="B252" s="1" t="s">
        <v>50</v>
      </c>
      <c r="C252" s="5">
        <v>5</v>
      </c>
    </row>
    <row r="253" spans="1:3" x14ac:dyDescent="0.35">
      <c r="A253" s="4" t="s">
        <v>34</v>
      </c>
      <c r="B253" s="1" t="s">
        <v>51</v>
      </c>
      <c r="C253" s="6">
        <v>16</v>
      </c>
    </row>
    <row r="254" spans="1:3" x14ac:dyDescent="0.35">
      <c r="A254" s="4" t="s">
        <v>35</v>
      </c>
      <c r="B254" s="1" t="s">
        <v>2</v>
      </c>
      <c r="C254" s="5">
        <v>72</v>
      </c>
    </row>
    <row r="255" spans="1:3" x14ac:dyDescent="0.35">
      <c r="A255" s="4" t="s">
        <v>35</v>
      </c>
      <c r="B255" s="1" t="s">
        <v>7</v>
      </c>
      <c r="C255" s="5">
        <v>58</v>
      </c>
    </row>
    <row r="256" spans="1:3" x14ac:dyDescent="0.35">
      <c r="A256" s="4" t="s">
        <v>35</v>
      </c>
      <c r="B256" s="1" t="s">
        <v>4</v>
      </c>
      <c r="C256" s="5">
        <v>39</v>
      </c>
    </row>
    <row r="257" spans="1:3" x14ac:dyDescent="0.35">
      <c r="A257" s="4" t="s">
        <v>35</v>
      </c>
      <c r="B257" s="1" t="s">
        <v>9</v>
      </c>
      <c r="C257" s="5">
        <v>13</v>
      </c>
    </row>
    <row r="258" spans="1:3" x14ac:dyDescent="0.35">
      <c r="A258" s="4" t="s">
        <v>35</v>
      </c>
      <c r="B258" s="1" t="s">
        <v>3</v>
      </c>
      <c r="C258" s="5">
        <v>39</v>
      </c>
    </row>
    <row r="259" spans="1:3" x14ac:dyDescent="0.35">
      <c r="A259" s="4" t="s">
        <v>35</v>
      </c>
      <c r="B259" s="1" t="s">
        <v>10</v>
      </c>
      <c r="C259" s="5">
        <v>14</v>
      </c>
    </row>
    <row r="260" spans="1:3" x14ac:dyDescent="0.35">
      <c r="A260" s="4" t="s">
        <v>35</v>
      </c>
      <c r="B260" s="1" t="s">
        <v>6</v>
      </c>
      <c r="C260" s="5">
        <v>56</v>
      </c>
    </row>
    <row r="261" spans="1:3" x14ac:dyDescent="0.35">
      <c r="A261" s="4" t="s">
        <v>35</v>
      </c>
      <c r="B261" s="1" t="s">
        <v>11</v>
      </c>
      <c r="C261" s="5">
        <v>32</v>
      </c>
    </row>
    <row r="262" spans="1:3" x14ac:dyDescent="0.35">
      <c r="A262" s="4" t="s">
        <v>35</v>
      </c>
      <c r="B262" s="1" t="s">
        <v>8</v>
      </c>
      <c r="C262" s="5">
        <v>106.59</v>
      </c>
    </row>
    <row r="263" spans="1:3" x14ac:dyDescent="0.35">
      <c r="A263" s="4" t="s">
        <v>35</v>
      </c>
      <c r="B263" s="1" t="s">
        <v>12</v>
      </c>
      <c r="C263" s="5">
        <v>4</v>
      </c>
    </row>
    <row r="264" spans="1:3" x14ac:dyDescent="0.35">
      <c r="A264" s="4" t="s">
        <v>35</v>
      </c>
      <c r="B264" s="1" t="s">
        <v>50</v>
      </c>
      <c r="C264" s="5">
        <v>6</v>
      </c>
    </row>
    <row r="265" spans="1:3" x14ac:dyDescent="0.35">
      <c r="A265" s="4" t="s">
        <v>35</v>
      </c>
      <c r="B265" s="1" t="s">
        <v>51</v>
      </c>
      <c r="C265" s="6">
        <v>17.600000000000001</v>
      </c>
    </row>
    <row r="266" spans="1:3" x14ac:dyDescent="0.35">
      <c r="A266" s="4" t="s">
        <v>36</v>
      </c>
      <c r="B266" s="1" t="s">
        <v>2</v>
      </c>
      <c r="C266" s="5">
        <v>64</v>
      </c>
    </row>
    <row r="267" spans="1:3" x14ac:dyDescent="0.35">
      <c r="A267" s="4" t="s">
        <v>36</v>
      </c>
      <c r="B267" s="1" t="s">
        <v>7</v>
      </c>
      <c r="C267" s="5">
        <v>55</v>
      </c>
    </row>
    <row r="268" spans="1:3" x14ac:dyDescent="0.35">
      <c r="A268" s="4" t="s">
        <v>36</v>
      </c>
      <c r="B268" s="1" t="s">
        <v>4</v>
      </c>
      <c r="C268" s="5">
        <v>28</v>
      </c>
    </row>
    <row r="269" spans="1:3" x14ac:dyDescent="0.35">
      <c r="A269" s="4" t="s">
        <v>36</v>
      </c>
      <c r="B269" s="1" t="s">
        <v>9</v>
      </c>
      <c r="C269" s="5">
        <v>16</v>
      </c>
    </row>
    <row r="270" spans="1:3" x14ac:dyDescent="0.35">
      <c r="A270" s="4" t="s">
        <v>36</v>
      </c>
      <c r="B270" s="1" t="s">
        <v>3</v>
      </c>
      <c r="C270" s="5">
        <v>40</v>
      </c>
    </row>
    <row r="271" spans="1:3" x14ac:dyDescent="0.35">
      <c r="A271" s="4" t="s">
        <v>36</v>
      </c>
      <c r="B271" s="1" t="s">
        <v>10</v>
      </c>
      <c r="C271" s="5">
        <v>11</v>
      </c>
    </row>
    <row r="272" spans="1:3" x14ac:dyDescent="0.35">
      <c r="A272" s="4" t="s">
        <v>36</v>
      </c>
      <c r="B272" s="1" t="s">
        <v>6</v>
      </c>
      <c r="C272" s="5">
        <v>63</v>
      </c>
    </row>
    <row r="273" spans="1:3" x14ac:dyDescent="0.35">
      <c r="A273" s="4" t="s">
        <v>36</v>
      </c>
      <c r="B273" s="1" t="s">
        <v>11</v>
      </c>
      <c r="C273" s="5">
        <v>34</v>
      </c>
    </row>
    <row r="274" spans="1:3" x14ac:dyDescent="0.35">
      <c r="A274" s="4" t="s">
        <v>36</v>
      </c>
      <c r="B274" s="1" t="s">
        <v>8</v>
      </c>
      <c r="C274" s="5">
        <v>99.52</v>
      </c>
    </row>
    <row r="275" spans="1:3" x14ac:dyDescent="0.35">
      <c r="A275" s="4" t="s">
        <v>36</v>
      </c>
      <c r="B275" s="1" t="s">
        <v>12</v>
      </c>
      <c r="C275" s="5">
        <v>4</v>
      </c>
    </row>
    <row r="276" spans="1:3" x14ac:dyDescent="0.35">
      <c r="A276" s="4" t="s">
        <v>36</v>
      </c>
      <c r="B276" s="1" t="s">
        <v>50</v>
      </c>
      <c r="C276" s="5">
        <v>5</v>
      </c>
    </row>
    <row r="277" spans="1:3" x14ac:dyDescent="0.35">
      <c r="A277" s="4" t="s">
        <v>36</v>
      </c>
      <c r="B277" s="1" t="s">
        <v>51</v>
      </c>
      <c r="C277" s="6">
        <v>16.98</v>
      </c>
    </row>
    <row r="278" spans="1:3" x14ac:dyDescent="0.35">
      <c r="A278" s="4" t="s">
        <v>37</v>
      </c>
      <c r="B278" s="1" t="s">
        <v>2</v>
      </c>
      <c r="C278" s="5">
        <v>69</v>
      </c>
    </row>
    <row r="279" spans="1:3" x14ac:dyDescent="0.35">
      <c r="A279" s="4" t="s">
        <v>37</v>
      </c>
      <c r="B279" s="1" t="s">
        <v>7</v>
      </c>
      <c r="C279" s="5">
        <v>48</v>
      </c>
    </row>
    <row r="280" spans="1:3" x14ac:dyDescent="0.35">
      <c r="A280" s="4" t="s">
        <v>37</v>
      </c>
      <c r="B280" s="1" t="s">
        <v>4</v>
      </c>
      <c r="C280" s="5">
        <v>36</v>
      </c>
    </row>
    <row r="281" spans="1:3" x14ac:dyDescent="0.35">
      <c r="A281" s="4" t="s">
        <v>37</v>
      </c>
      <c r="B281" s="1" t="s">
        <v>9</v>
      </c>
      <c r="C281" s="5">
        <v>19</v>
      </c>
    </row>
    <row r="282" spans="1:3" x14ac:dyDescent="0.35">
      <c r="A282" s="4" t="s">
        <v>37</v>
      </c>
      <c r="B282" s="1" t="s">
        <v>3</v>
      </c>
      <c r="C282" s="5">
        <v>50</v>
      </c>
    </row>
    <row r="283" spans="1:3" x14ac:dyDescent="0.35">
      <c r="A283" s="4" t="s">
        <v>37</v>
      </c>
      <c r="B283" s="1" t="s">
        <v>10</v>
      </c>
      <c r="C283" s="5">
        <v>13</v>
      </c>
    </row>
    <row r="284" spans="1:3" x14ac:dyDescent="0.35">
      <c r="A284" s="4" t="s">
        <v>37</v>
      </c>
      <c r="B284" s="1" t="s">
        <v>6</v>
      </c>
      <c r="C284" s="5">
        <v>60</v>
      </c>
    </row>
    <row r="285" spans="1:3" x14ac:dyDescent="0.35">
      <c r="A285" s="4" t="s">
        <v>37</v>
      </c>
      <c r="B285" s="1" t="s">
        <v>11</v>
      </c>
      <c r="C285" s="5">
        <v>31</v>
      </c>
    </row>
    <row r="286" spans="1:3" x14ac:dyDescent="0.35">
      <c r="A286" s="4" t="s">
        <v>37</v>
      </c>
      <c r="B286" s="1" t="s">
        <v>8</v>
      </c>
      <c r="C286" s="5">
        <v>101.06</v>
      </c>
    </row>
    <row r="287" spans="1:3" x14ac:dyDescent="0.35">
      <c r="A287" s="4" t="s">
        <v>37</v>
      </c>
      <c r="B287" s="1" t="s">
        <v>12</v>
      </c>
      <c r="C287" s="5">
        <v>3</v>
      </c>
    </row>
    <row r="288" spans="1:3" x14ac:dyDescent="0.35">
      <c r="A288" s="4" t="s">
        <v>37</v>
      </c>
      <c r="B288" s="1" t="s">
        <v>50</v>
      </c>
      <c r="C288" s="5">
        <v>6</v>
      </c>
    </row>
    <row r="289" spans="1:3" x14ac:dyDescent="0.35">
      <c r="A289" s="4" t="s">
        <v>37</v>
      </c>
      <c r="B289" s="1" t="s">
        <v>51</v>
      </c>
      <c r="C289" s="6">
        <v>18.54</v>
      </c>
    </row>
    <row r="290" spans="1:3" x14ac:dyDescent="0.35">
      <c r="A290" s="4" t="s">
        <v>38</v>
      </c>
      <c r="B290" s="1" t="s">
        <v>2</v>
      </c>
      <c r="C290" s="5">
        <v>57</v>
      </c>
    </row>
    <row r="291" spans="1:3" x14ac:dyDescent="0.35">
      <c r="A291" s="4" t="s">
        <v>38</v>
      </c>
      <c r="B291" s="1" t="s">
        <v>7</v>
      </c>
      <c r="C291" s="5">
        <v>47</v>
      </c>
    </row>
    <row r="292" spans="1:3" x14ac:dyDescent="0.35">
      <c r="A292" s="4" t="s">
        <v>38</v>
      </c>
      <c r="B292" s="1" t="s">
        <v>4</v>
      </c>
      <c r="C292" s="5">
        <v>35</v>
      </c>
    </row>
    <row r="293" spans="1:3" x14ac:dyDescent="0.35">
      <c r="A293" s="4" t="s">
        <v>38</v>
      </c>
      <c r="B293" s="1" t="s">
        <v>9</v>
      </c>
      <c r="C293" s="5">
        <v>17</v>
      </c>
    </row>
    <row r="294" spans="1:3" x14ac:dyDescent="0.35">
      <c r="A294" s="4" t="s">
        <v>38</v>
      </c>
      <c r="B294" s="1" t="s">
        <v>3</v>
      </c>
      <c r="C294" s="5">
        <v>41</v>
      </c>
    </row>
    <row r="295" spans="1:3" x14ac:dyDescent="0.35">
      <c r="A295" s="4" t="s">
        <v>38</v>
      </c>
      <c r="B295" s="1" t="s">
        <v>10</v>
      </c>
      <c r="C295" s="5">
        <v>11</v>
      </c>
    </row>
    <row r="296" spans="1:3" x14ac:dyDescent="0.35">
      <c r="A296" s="4" t="s">
        <v>38</v>
      </c>
      <c r="B296" s="1" t="s">
        <v>6</v>
      </c>
      <c r="C296" s="5">
        <v>61</v>
      </c>
    </row>
    <row r="297" spans="1:3" x14ac:dyDescent="0.35">
      <c r="A297" s="4" t="s">
        <v>38</v>
      </c>
      <c r="B297" s="1" t="s">
        <v>11</v>
      </c>
      <c r="C297" s="5">
        <v>35</v>
      </c>
    </row>
    <row r="298" spans="1:3" x14ac:dyDescent="0.35">
      <c r="A298" s="4" t="s">
        <v>38</v>
      </c>
      <c r="B298" s="1" t="s">
        <v>8</v>
      </c>
      <c r="C298" s="5">
        <v>88.16</v>
      </c>
    </row>
    <row r="299" spans="1:3" x14ac:dyDescent="0.35">
      <c r="A299" s="4" t="s">
        <v>38</v>
      </c>
      <c r="B299" s="1" t="s">
        <v>12</v>
      </c>
      <c r="C299" s="5">
        <v>3</v>
      </c>
    </row>
    <row r="300" spans="1:3" x14ac:dyDescent="0.35">
      <c r="A300" s="4" t="s">
        <v>38</v>
      </c>
      <c r="B300" s="1" t="s">
        <v>50</v>
      </c>
      <c r="C300" s="5">
        <v>3</v>
      </c>
    </row>
    <row r="301" spans="1:3" x14ac:dyDescent="0.35">
      <c r="A301" s="4" t="s">
        <v>38</v>
      </c>
      <c r="B301" s="1" t="s">
        <v>51</v>
      </c>
      <c r="C301" s="6">
        <v>16.8</v>
      </c>
    </row>
    <row r="302" spans="1:3" x14ac:dyDescent="0.35">
      <c r="A302" s="4" t="s">
        <v>39</v>
      </c>
      <c r="B302" s="1" t="s">
        <v>2</v>
      </c>
      <c r="C302" s="5">
        <v>72</v>
      </c>
    </row>
    <row r="303" spans="1:3" x14ac:dyDescent="0.35">
      <c r="A303" s="4" t="s">
        <v>39</v>
      </c>
      <c r="B303" s="1" t="s">
        <v>7</v>
      </c>
      <c r="C303" s="5">
        <v>57</v>
      </c>
    </row>
    <row r="304" spans="1:3" x14ac:dyDescent="0.35">
      <c r="A304" s="4" t="s">
        <v>39</v>
      </c>
      <c r="B304" s="1" t="s">
        <v>4</v>
      </c>
      <c r="C304" s="5">
        <v>29</v>
      </c>
    </row>
    <row r="305" spans="1:3" x14ac:dyDescent="0.35">
      <c r="A305" s="4" t="s">
        <v>39</v>
      </c>
      <c r="B305" s="1" t="s">
        <v>9</v>
      </c>
      <c r="C305" s="5">
        <v>16</v>
      </c>
    </row>
    <row r="306" spans="1:3" x14ac:dyDescent="0.35">
      <c r="A306" s="4" t="s">
        <v>39</v>
      </c>
      <c r="B306" s="1" t="s">
        <v>3</v>
      </c>
      <c r="C306" s="5">
        <v>49</v>
      </c>
    </row>
    <row r="307" spans="1:3" x14ac:dyDescent="0.35">
      <c r="A307" s="4" t="s">
        <v>39</v>
      </c>
      <c r="B307" s="1" t="s">
        <v>10</v>
      </c>
      <c r="C307" s="5">
        <v>19</v>
      </c>
    </row>
    <row r="308" spans="1:3" x14ac:dyDescent="0.35">
      <c r="A308" s="4" t="s">
        <v>39</v>
      </c>
      <c r="B308" s="1" t="s">
        <v>6</v>
      </c>
      <c r="C308" s="5">
        <v>57</v>
      </c>
    </row>
    <row r="309" spans="1:3" x14ac:dyDescent="0.35">
      <c r="A309" s="4" t="s">
        <v>39</v>
      </c>
      <c r="B309" s="1" t="s">
        <v>11</v>
      </c>
      <c r="C309" s="5">
        <v>35</v>
      </c>
    </row>
    <row r="310" spans="1:3" x14ac:dyDescent="0.35">
      <c r="A310" s="4" t="s">
        <v>39</v>
      </c>
      <c r="B310" s="1" t="s">
        <v>8</v>
      </c>
      <c r="C310" s="5">
        <v>96.86</v>
      </c>
    </row>
    <row r="311" spans="1:3" x14ac:dyDescent="0.35">
      <c r="A311" s="4" t="s">
        <v>39</v>
      </c>
      <c r="B311" s="1" t="s">
        <v>12</v>
      </c>
      <c r="C311" s="5">
        <v>4</v>
      </c>
    </row>
    <row r="312" spans="1:3" x14ac:dyDescent="0.35">
      <c r="A312" s="4" t="s">
        <v>39</v>
      </c>
      <c r="B312" s="1" t="s">
        <v>50</v>
      </c>
      <c r="C312" s="5">
        <v>4</v>
      </c>
    </row>
    <row r="313" spans="1:3" x14ac:dyDescent="0.35">
      <c r="A313" s="4" t="s">
        <v>39</v>
      </c>
      <c r="B313" s="1" t="s">
        <v>51</v>
      </c>
      <c r="C313" s="6">
        <v>17.899999999999999</v>
      </c>
    </row>
    <row r="314" spans="1:3" x14ac:dyDescent="0.35">
      <c r="A314" s="4" t="s">
        <v>40</v>
      </c>
      <c r="B314" s="1" t="s">
        <v>2</v>
      </c>
      <c r="C314" s="5">
        <v>61</v>
      </c>
    </row>
    <row r="315" spans="1:3" x14ac:dyDescent="0.35">
      <c r="A315" s="4" t="s">
        <v>40</v>
      </c>
      <c r="B315" s="1" t="s">
        <v>7</v>
      </c>
      <c r="C315" s="5">
        <v>52</v>
      </c>
    </row>
    <row r="316" spans="1:3" x14ac:dyDescent="0.35">
      <c r="A316" s="4" t="s">
        <v>40</v>
      </c>
      <c r="B316" s="1" t="s">
        <v>4</v>
      </c>
      <c r="C316" s="5">
        <v>27</v>
      </c>
    </row>
    <row r="317" spans="1:3" x14ac:dyDescent="0.35">
      <c r="A317" s="4" t="s">
        <v>40</v>
      </c>
      <c r="B317" s="1" t="s">
        <v>9</v>
      </c>
      <c r="C317" s="5">
        <v>13</v>
      </c>
    </row>
    <row r="318" spans="1:3" x14ac:dyDescent="0.35">
      <c r="A318" s="4" t="s">
        <v>40</v>
      </c>
      <c r="B318" s="1" t="s">
        <v>3</v>
      </c>
      <c r="C318" s="5">
        <v>38</v>
      </c>
    </row>
    <row r="319" spans="1:3" x14ac:dyDescent="0.35">
      <c r="A319" s="4" t="s">
        <v>40</v>
      </c>
      <c r="B319" s="1" t="s">
        <v>10</v>
      </c>
      <c r="C319" s="5">
        <v>17</v>
      </c>
    </row>
    <row r="320" spans="1:3" x14ac:dyDescent="0.35">
      <c r="A320" s="4" t="s">
        <v>40</v>
      </c>
      <c r="B320" s="1" t="s">
        <v>6</v>
      </c>
      <c r="C320" s="5">
        <v>63</v>
      </c>
    </row>
    <row r="321" spans="1:3" x14ac:dyDescent="0.35">
      <c r="A321" s="4" t="s">
        <v>40</v>
      </c>
      <c r="B321" s="1" t="s">
        <v>11</v>
      </c>
      <c r="C321" s="5">
        <v>31</v>
      </c>
    </row>
    <row r="322" spans="1:3" x14ac:dyDescent="0.35">
      <c r="A322" s="4" t="s">
        <v>40</v>
      </c>
      <c r="B322" s="1" t="s">
        <v>8</v>
      </c>
      <c r="C322" s="5">
        <v>87.58</v>
      </c>
    </row>
    <row r="323" spans="1:3" x14ac:dyDescent="0.35">
      <c r="A323" s="4" t="s">
        <v>40</v>
      </c>
      <c r="B323" s="1" t="s">
        <v>12</v>
      </c>
      <c r="C323" s="5">
        <v>4</v>
      </c>
    </row>
    <row r="324" spans="1:3" x14ac:dyDescent="0.35">
      <c r="A324" s="4" t="s">
        <v>40</v>
      </c>
      <c r="B324" s="1" t="s">
        <v>50</v>
      </c>
      <c r="C324" s="5">
        <v>4</v>
      </c>
    </row>
    <row r="325" spans="1:3" x14ac:dyDescent="0.35">
      <c r="A325" s="4" t="s">
        <v>40</v>
      </c>
      <c r="B325" s="1" t="s">
        <v>51</v>
      </c>
      <c r="C325" s="6">
        <v>16.490000000000002</v>
      </c>
    </row>
    <row r="326" spans="1:3" x14ac:dyDescent="0.35">
      <c r="A326" s="4" t="s">
        <v>41</v>
      </c>
      <c r="B326" s="1" t="s">
        <v>2</v>
      </c>
      <c r="C326" s="5">
        <v>62</v>
      </c>
    </row>
    <row r="327" spans="1:3" x14ac:dyDescent="0.35">
      <c r="A327" s="4" t="s">
        <v>41</v>
      </c>
      <c r="B327" s="1" t="s">
        <v>7</v>
      </c>
      <c r="C327" s="5">
        <v>48</v>
      </c>
    </row>
    <row r="328" spans="1:3" x14ac:dyDescent="0.35">
      <c r="A328" s="4" t="s">
        <v>41</v>
      </c>
      <c r="B328" s="1" t="s">
        <v>4</v>
      </c>
      <c r="C328" s="5">
        <v>25</v>
      </c>
    </row>
    <row r="329" spans="1:3" x14ac:dyDescent="0.35">
      <c r="A329" s="4" t="s">
        <v>41</v>
      </c>
      <c r="B329" s="1" t="s">
        <v>9</v>
      </c>
      <c r="C329" s="5">
        <v>20</v>
      </c>
    </row>
    <row r="330" spans="1:3" x14ac:dyDescent="0.35">
      <c r="A330" s="4" t="s">
        <v>41</v>
      </c>
      <c r="B330" s="1" t="s">
        <v>3</v>
      </c>
      <c r="C330" s="5">
        <v>47</v>
      </c>
    </row>
    <row r="331" spans="1:3" x14ac:dyDescent="0.35">
      <c r="A331" s="4" t="s">
        <v>41</v>
      </c>
      <c r="B331" s="1" t="s">
        <v>10</v>
      </c>
      <c r="C331" s="5">
        <v>11</v>
      </c>
    </row>
    <row r="332" spans="1:3" x14ac:dyDescent="0.35">
      <c r="A332" s="4" t="s">
        <v>41</v>
      </c>
      <c r="B332" s="1" t="s">
        <v>6</v>
      </c>
      <c r="C332" s="5">
        <v>56</v>
      </c>
    </row>
    <row r="333" spans="1:3" x14ac:dyDescent="0.35">
      <c r="A333" s="4" t="s">
        <v>41</v>
      </c>
      <c r="B333" s="1" t="s">
        <v>11</v>
      </c>
      <c r="C333" s="5">
        <v>30</v>
      </c>
    </row>
    <row r="334" spans="1:3" x14ac:dyDescent="0.35">
      <c r="A334" s="4" t="s">
        <v>41</v>
      </c>
      <c r="B334" s="1" t="s">
        <v>8</v>
      </c>
      <c r="C334" s="5">
        <v>80.73</v>
      </c>
    </row>
    <row r="335" spans="1:3" x14ac:dyDescent="0.35">
      <c r="A335" s="4" t="s">
        <v>41</v>
      </c>
      <c r="B335" s="1" t="s">
        <v>12</v>
      </c>
      <c r="C335" s="5">
        <v>3</v>
      </c>
    </row>
    <row r="336" spans="1:3" x14ac:dyDescent="0.35">
      <c r="A336" s="4" t="s">
        <v>41</v>
      </c>
      <c r="B336" s="1" t="s">
        <v>50</v>
      </c>
      <c r="C336" s="5">
        <v>4</v>
      </c>
    </row>
    <row r="337" spans="1:3" x14ac:dyDescent="0.35">
      <c r="A337" s="4" t="s">
        <v>41</v>
      </c>
      <c r="B337" s="1" t="s">
        <v>51</v>
      </c>
      <c r="C337" s="6">
        <v>16.54</v>
      </c>
    </row>
    <row r="338" spans="1:3" x14ac:dyDescent="0.35">
      <c r="A338" s="4" t="s">
        <v>42</v>
      </c>
      <c r="B338" s="1" t="s">
        <v>2</v>
      </c>
      <c r="C338" s="5">
        <v>59</v>
      </c>
    </row>
    <row r="339" spans="1:3" x14ac:dyDescent="0.35">
      <c r="A339" s="4" t="s">
        <v>42</v>
      </c>
      <c r="B339" s="1" t="s">
        <v>7</v>
      </c>
      <c r="C339" s="5">
        <v>58</v>
      </c>
    </row>
    <row r="340" spans="1:3" x14ac:dyDescent="0.35">
      <c r="A340" s="4" t="s">
        <v>42</v>
      </c>
      <c r="B340" s="1" t="s">
        <v>4</v>
      </c>
      <c r="C340" s="5">
        <v>32</v>
      </c>
    </row>
    <row r="341" spans="1:3" x14ac:dyDescent="0.35">
      <c r="A341" s="4" t="s">
        <v>42</v>
      </c>
      <c r="B341" s="1" t="s">
        <v>9</v>
      </c>
      <c r="C341" s="5">
        <v>13</v>
      </c>
    </row>
    <row r="342" spans="1:3" x14ac:dyDescent="0.35">
      <c r="A342" s="4" t="s">
        <v>42</v>
      </c>
      <c r="B342" s="1" t="s">
        <v>3</v>
      </c>
      <c r="C342" s="5">
        <v>41</v>
      </c>
    </row>
    <row r="343" spans="1:3" x14ac:dyDescent="0.35">
      <c r="A343" s="4" t="s">
        <v>42</v>
      </c>
      <c r="B343" s="1" t="s">
        <v>10</v>
      </c>
      <c r="C343" s="5">
        <v>13</v>
      </c>
    </row>
    <row r="344" spans="1:3" x14ac:dyDescent="0.35">
      <c r="A344" s="4" t="s">
        <v>42</v>
      </c>
      <c r="B344" s="1" t="s">
        <v>6</v>
      </c>
      <c r="C344" s="5">
        <v>54</v>
      </c>
    </row>
    <row r="345" spans="1:3" x14ac:dyDescent="0.35">
      <c r="A345" s="4" t="s">
        <v>42</v>
      </c>
      <c r="B345" s="1" t="s">
        <v>11</v>
      </c>
      <c r="C345" s="5">
        <v>35</v>
      </c>
    </row>
    <row r="346" spans="1:3" x14ac:dyDescent="0.35">
      <c r="A346" s="4" t="s">
        <v>42</v>
      </c>
      <c r="B346" s="1" t="s">
        <v>8</v>
      </c>
      <c r="C346" s="5">
        <v>88.449999999999989</v>
      </c>
    </row>
    <row r="347" spans="1:3" x14ac:dyDescent="0.35">
      <c r="A347" s="4" t="s">
        <v>42</v>
      </c>
      <c r="B347" s="1" t="s">
        <v>12</v>
      </c>
      <c r="C347" s="5">
        <v>4</v>
      </c>
    </row>
    <row r="348" spans="1:3" x14ac:dyDescent="0.35">
      <c r="A348" s="4" t="s">
        <v>42</v>
      </c>
      <c r="B348" s="1" t="s">
        <v>50</v>
      </c>
      <c r="C348" s="5">
        <v>5</v>
      </c>
    </row>
    <row r="349" spans="1:3" x14ac:dyDescent="0.35">
      <c r="A349" s="4" t="s">
        <v>42</v>
      </c>
      <c r="B349" s="1" t="s">
        <v>51</v>
      </c>
      <c r="C349" s="6">
        <v>16.05</v>
      </c>
    </row>
    <row r="350" spans="1:3" x14ac:dyDescent="0.35">
      <c r="A350" s="4" t="s">
        <v>43</v>
      </c>
      <c r="B350" s="1" t="s">
        <v>2</v>
      </c>
      <c r="C350" s="5">
        <v>67</v>
      </c>
    </row>
    <row r="351" spans="1:3" x14ac:dyDescent="0.35">
      <c r="A351" s="4" t="s">
        <v>43</v>
      </c>
      <c r="B351" s="1" t="s">
        <v>7</v>
      </c>
      <c r="C351" s="5">
        <v>56</v>
      </c>
    </row>
    <row r="352" spans="1:3" x14ac:dyDescent="0.35">
      <c r="A352" s="4" t="s">
        <v>43</v>
      </c>
      <c r="B352" s="1" t="s">
        <v>4</v>
      </c>
      <c r="C352" s="5">
        <v>31</v>
      </c>
    </row>
    <row r="353" spans="1:3" x14ac:dyDescent="0.35">
      <c r="A353" s="4" t="s">
        <v>43</v>
      </c>
      <c r="B353" s="1" t="s">
        <v>9</v>
      </c>
      <c r="C353" s="5">
        <v>18</v>
      </c>
    </row>
    <row r="354" spans="1:3" x14ac:dyDescent="0.35">
      <c r="A354" s="4" t="s">
        <v>43</v>
      </c>
      <c r="B354" s="1" t="s">
        <v>3</v>
      </c>
      <c r="C354" s="5">
        <v>47</v>
      </c>
    </row>
    <row r="355" spans="1:3" x14ac:dyDescent="0.35">
      <c r="A355" s="4" t="s">
        <v>43</v>
      </c>
      <c r="B355" s="1" t="s">
        <v>10</v>
      </c>
      <c r="C355" s="5">
        <v>17</v>
      </c>
    </row>
    <row r="356" spans="1:3" x14ac:dyDescent="0.35">
      <c r="A356" s="4" t="s">
        <v>43</v>
      </c>
      <c r="B356" s="1" t="s">
        <v>6</v>
      </c>
      <c r="C356" s="5">
        <v>66</v>
      </c>
    </row>
    <row r="357" spans="1:3" x14ac:dyDescent="0.35">
      <c r="A357" s="4" t="s">
        <v>43</v>
      </c>
      <c r="B357" s="1" t="s">
        <v>11</v>
      </c>
      <c r="C357" s="5">
        <v>30</v>
      </c>
    </row>
    <row r="358" spans="1:3" x14ac:dyDescent="0.35">
      <c r="A358" s="4" t="s">
        <v>43</v>
      </c>
      <c r="B358" s="1" t="s">
        <v>8</v>
      </c>
      <c r="C358" s="5">
        <v>102.92</v>
      </c>
    </row>
    <row r="359" spans="1:3" x14ac:dyDescent="0.35">
      <c r="A359" s="4" t="s">
        <v>43</v>
      </c>
      <c r="B359" s="1" t="s">
        <v>12</v>
      </c>
      <c r="C359" s="5">
        <v>3</v>
      </c>
    </row>
    <row r="360" spans="1:3" x14ac:dyDescent="0.35">
      <c r="A360" s="4" t="s">
        <v>43</v>
      </c>
      <c r="B360" s="1" t="s">
        <v>50</v>
      </c>
      <c r="C360" s="5">
        <v>4</v>
      </c>
    </row>
    <row r="361" spans="1:3" x14ac:dyDescent="0.35">
      <c r="A361" s="4" t="s">
        <v>43</v>
      </c>
      <c r="B361" s="1" t="s">
        <v>51</v>
      </c>
      <c r="C361" s="6">
        <v>18.360000000000003</v>
      </c>
    </row>
    <row r="362" spans="1:3" x14ac:dyDescent="0.35">
      <c r="A362" s="4" t="s">
        <v>44</v>
      </c>
      <c r="B362" s="1" t="s">
        <v>2</v>
      </c>
      <c r="C362" s="5">
        <v>70</v>
      </c>
    </row>
    <row r="363" spans="1:3" x14ac:dyDescent="0.35">
      <c r="A363" s="4" t="s">
        <v>44</v>
      </c>
      <c r="B363" s="1" t="s">
        <v>7</v>
      </c>
      <c r="C363" s="5">
        <v>52</v>
      </c>
    </row>
    <row r="364" spans="1:3" x14ac:dyDescent="0.35">
      <c r="A364" s="4" t="s">
        <v>44</v>
      </c>
      <c r="B364" s="1" t="s">
        <v>4</v>
      </c>
      <c r="C364" s="5">
        <v>37</v>
      </c>
    </row>
    <row r="365" spans="1:3" x14ac:dyDescent="0.35">
      <c r="A365" s="4" t="s">
        <v>44</v>
      </c>
      <c r="B365" s="1" t="s">
        <v>9</v>
      </c>
      <c r="C365" s="5">
        <v>10</v>
      </c>
    </row>
    <row r="366" spans="1:3" x14ac:dyDescent="0.35">
      <c r="A366" s="4" t="s">
        <v>44</v>
      </c>
      <c r="B366" s="1" t="s">
        <v>3</v>
      </c>
      <c r="C366" s="5">
        <v>35</v>
      </c>
    </row>
    <row r="367" spans="1:3" x14ac:dyDescent="0.35">
      <c r="A367" s="4" t="s">
        <v>44</v>
      </c>
      <c r="B367" s="1" t="s">
        <v>10</v>
      </c>
      <c r="C367" s="5">
        <v>18</v>
      </c>
    </row>
    <row r="368" spans="1:3" x14ac:dyDescent="0.35">
      <c r="A368" s="4" t="s">
        <v>44</v>
      </c>
      <c r="B368" s="1" t="s">
        <v>6</v>
      </c>
      <c r="C368" s="5">
        <v>59</v>
      </c>
    </row>
    <row r="369" spans="1:3" x14ac:dyDescent="0.35">
      <c r="A369" s="4" t="s">
        <v>44</v>
      </c>
      <c r="B369" s="1" t="s">
        <v>11</v>
      </c>
      <c r="C369" s="5">
        <v>35</v>
      </c>
    </row>
    <row r="370" spans="1:3" x14ac:dyDescent="0.35">
      <c r="A370" s="4" t="s">
        <v>44</v>
      </c>
      <c r="B370" s="1" t="s">
        <v>8</v>
      </c>
      <c r="C370" s="5">
        <v>104.28</v>
      </c>
    </row>
    <row r="371" spans="1:3" x14ac:dyDescent="0.35">
      <c r="A371" s="4" t="s">
        <v>44</v>
      </c>
      <c r="B371" s="1" t="s">
        <v>12</v>
      </c>
      <c r="C371" s="5">
        <v>3</v>
      </c>
    </row>
    <row r="372" spans="1:3" x14ac:dyDescent="0.35">
      <c r="A372" s="4" t="s">
        <v>44</v>
      </c>
      <c r="B372" s="1" t="s">
        <v>50</v>
      </c>
      <c r="C372" s="5">
        <v>5</v>
      </c>
    </row>
    <row r="373" spans="1:3" x14ac:dyDescent="0.35">
      <c r="A373" s="4" t="s">
        <v>44</v>
      </c>
      <c r="B373" s="1" t="s">
        <v>51</v>
      </c>
      <c r="C373" s="6">
        <v>17.240000000000002</v>
      </c>
    </row>
    <row r="374" spans="1:3" x14ac:dyDescent="0.35">
      <c r="A374" s="4" t="s">
        <v>45</v>
      </c>
      <c r="B374" s="1" t="s">
        <v>2</v>
      </c>
      <c r="C374" s="5">
        <v>75</v>
      </c>
    </row>
    <row r="375" spans="1:3" x14ac:dyDescent="0.35">
      <c r="A375" s="4" t="s">
        <v>45</v>
      </c>
      <c r="B375" s="1" t="s">
        <v>7</v>
      </c>
      <c r="C375" s="5">
        <v>47</v>
      </c>
    </row>
    <row r="376" spans="1:3" x14ac:dyDescent="0.35">
      <c r="A376" s="4" t="s">
        <v>45</v>
      </c>
      <c r="B376" s="1" t="s">
        <v>4</v>
      </c>
      <c r="C376" s="5">
        <v>27</v>
      </c>
    </row>
    <row r="377" spans="1:3" x14ac:dyDescent="0.35">
      <c r="A377" s="4" t="s">
        <v>45</v>
      </c>
      <c r="B377" s="1" t="s">
        <v>9</v>
      </c>
      <c r="C377" s="5">
        <v>19</v>
      </c>
    </row>
    <row r="378" spans="1:3" x14ac:dyDescent="0.35">
      <c r="A378" s="4" t="s">
        <v>45</v>
      </c>
      <c r="B378" s="1" t="s">
        <v>3</v>
      </c>
      <c r="C378" s="5">
        <v>45</v>
      </c>
    </row>
    <row r="379" spans="1:3" x14ac:dyDescent="0.35">
      <c r="A379" s="4" t="s">
        <v>45</v>
      </c>
      <c r="B379" s="1" t="s">
        <v>10</v>
      </c>
      <c r="C379" s="5">
        <v>11</v>
      </c>
    </row>
    <row r="380" spans="1:3" x14ac:dyDescent="0.35">
      <c r="A380" s="4" t="s">
        <v>45</v>
      </c>
      <c r="B380" s="1" t="s">
        <v>6</v>
      </c>
      <c r="C380" s="5">
        <v>59</v>
      </c>
    </row>
    <row r="381" spans="1:3" x14ac:dyDescent="0.35">
      <c r="A381" s="4" t="s">
        <v>45</v>
      </c>
      <c r="B381" s="1" t="s">
        <v>11</v>
      </c>
      <c r="C381" s="5">
        <v>30</v>
      </c>
    </row>
    <row r="382" spans="1:3" x14ac:dyDescent="0.35">
      <c r="A382" s="4" t="s">
        <v>45</v>
      </c>
      <c r="B382" s="1" t="s">
        <v>8</v>
      </c>
      <c r="C382" s="5">
        <v>78.25</v>
      </c>
    </row>
    <row r="383" spans="1:3" x14ac:dyDescent="0.35">
      <c r="A383" s="4" t="s">
        <v>45</v>
      </c>
      <c r="B383" s="1" t="s">
        <v>12</v>
      </c>
      <c r="C383" s="5">
        <v>4</v>
      </c>
    </row>
    <row r="384" spans="1:3" x14ac:dyDescent="0.35">
      <c r="A384" s="4" t="s">
        <v>45</v>
      </c>
      <c r="B384" s="1" t="s">
        <v>50</v>
      </c>
      <c r="C384" s="5">
        <v>5</v>
      </c>
    </row>
    <row r="385" spans="1:3" x14ac:dyDescent="0.35">
      <c r="A385" s="4" t="s">
        <v>45</v>
      </c>
      <c r="B385" s="1" t="s">
        <v>51</v>
      </c>
      <c r="C385" s="6">
        <v>17.840000000000003</v>
      </c>
    </row>
    <row r="386" spans="1:3" x14ac:dyDescent="0.35">
      <c r="A386" s="4" t="s">
        <v>46</v>
      </c>
      <c r="B386" s="1" t="s">
        <v>2</v>
      </c>
      <c r="C386" s="5">
        <v>65</v>
      </c>
    </row>
    <row r="387" spans="1:3" x14ac:dyDescent="0.35">
      <c r="A387" s="4" t="s">
        <v>46</v>
      </c>
      <c r="B387" s="1" t="s">
        <v>7</v>
      </c>
      <c r="C387" s="5">
        <v>47</v>
      </c>
    </row>
    <row r="388" spans="1:3" x14ac:dyDescent="0.35">
      <c r="A388" s="4" t="s">
        <v>46</v>
      </c>
      <c r="B388" s="1" t="s">
        <v>4</v>
      </c>
      <c r="C388" s="5">
        <v>38</v>
      </c>
    </row>
    <row r="389" spans="1:3" x14ac:dyDescent="0.35">
      <c r="A389" s="4" t="s">
        <v>46</v>
      </c>
      <c r="B389" s="1" t="s">
        <v>9</v>
      </c>
      <c r="C389" s="5">
        <v>13</v>
      </c>
    </row>
    <row r="390" spans="1:3" x14ac:dyDescent="0.35">
      <c r="A390" s="4" t="s">
        <v>46</v>
      </c>
      <c r="B390" s="1" t="s">
        <v>3</v>
      </c>
      <c r="C390" s="5">
        <v>39</v>
      </c>
    </row>
    <row r="391" spans="1:3" x14ac:dyDescent="0.35">
      <c r="A391" s="4" t="s">
        <v>46</v>
      </c>
      <c r="B391" s="1" t="s">
        <v>10</v>
      </c>
      <c r="C391" s="5">
        <v>11</v>
      </c>
    </row>
    <row r="392" spans="1:3" x14ac:dyDescent="0.35">
      <c r="A392" s="4" t="s">
        <v>46</v>
      </c>
      <c r="B392" s="1" t="s">
        <v>6</v>
      </c>
      <c r="C392" s="5">
        <v>58</v>
      </c>
    </row>
    <row r="393" spans="1:3" x14ac:dyDescent="0.35">
      <c r="A393" s="4" t="s">
        <v>46</v>
      </c>
      <c r="B393" s="1" t="s">
        <v>11</v>
      </c>
      <c r="C393" s="5">
        <v>32</v>
      </c>
    </row>
    <row r="394" spans="1:3" x14ac:dyDescent="0.35">
      <c r="A394" s="4" t="s">
        <v>46</v>
      </c>
      <c r="B394" s="1" t="s">
        <v>8</v>
      </c>
      <c r="C394" s="5">
        <v>78.78</v>
      </c>
    </row>
    <row r="395" spans="1:3" x14ac:dyDescent="0.35">
      <c r="A395" s="4" t="s">
        <v>46</v>
      </c>
      <c r="B395" s="1" t="s">
        <v>12</v>
      </c>
      <c r="C395" s="5">
        <v>3</v>
      </c>
    </row>
    <row r="396" spans="1:3" x14ac:dyDescent="0.35">
      <c r="A396" s="4" t="s">
        <v>46</v>
      </c>
      <c r="B396" s="1" t="s">
        <v>50</v>
      </c>
      <c r="C396" s="5">
        <v>4</v>
      </c>
    </row>
    <row r="397" spans="1:3" x14ac:dyDescent="0.35">
      <c r="A397" s="4" t="s">
        <v>46</v>
      </c>
      <c r="B397" s="1" t="s">
        <v>51</v>
      </c>
      <c r="C397" s="6">
        <v>17.170000000000002</v>
      </c>
    </row>
    <row r="398" spans="1:3" x14ac:dyDescent="0.35">
      <c r="A398" s="4" t="s">
        <v>47</v>
      </c>
      <c r="B398" s="1" t="s">
        <v>2</v>
      </c>
      <c r="C398" s="5">
        <v>72</v>
      </c>
    </row>
    <row r="399" spans="1:3" x14ac:dyDescent="0.35">
      <c r="A399" s="4" t="s">
        <v>47</v>
      </c>
      <c r="B399" s="1" t="s">
        <v>7</v>
      </c>
      <c r="C399" s="5">
        <v>51</v>
      </c>
    </row>
    <row r="400" spans="1:3" x14ac:dyDescent="0.35">
      <c r="A400" s="4" t="s">
        <v>47</v>
      </c>
      <c r="B400" s="1" t="s">
        <v>4</v>
      </c>
      <c r="C400" s="5">
        <v>34</v>
      </c>
    </row>
    <row r="401" spans="1:3" x14ac:dyDescent="0.35">
      <c r="A401" s="4" t="s">
        <v>47</v>
      </c>
      <c r="B401" s="1" t="s">
        <v>9</v>
      </c>
      <c r="C401" s="5">
        <v>16</v>
      </c>
    </row>
    <row r="402" spans="1:3" x14ac:dyDescent="0.35">
      <c r="A402" s="4" t="s">
        <v>47</v>
      </c>
      <c r="B402" s="1" t="s">
        <v>3</v>
      </c>
      <c r="C402" s="5">
        <v>39</v>
      </c>
    </row>
    <row r="403" spans="1:3" x14ac:dyDescent="0.35">
      <c r="A403" s="4" t="s">
        <v>47</v>
      </c>
      <c r="B403" s="1" t="s">
        <v>10</v>
      </c>
      <c r="C403" s="5">
        <v>10</v>
      </c>
    </row>
    <row r="404" spans="1:3" x14ac:dyDescent="0.35">
      <c r="A404" s="4" t="s">
        <v>47</v>
      </c>
      <c r="B404" s="1" t="s">
        <v>6</v>
      </c>
      <c r="C404" s="5">
        <v>64</v>
      </c>
    </row>
    <row r="405" spans="1:3" x14ac:dyDescent="0.35">
      <c r="A405" s="4" t="s">
        <v>47</v>
      </c>
      <c r="B405" s="1" t="s">
        <v>11</v>
      </c>
      <c r="C405" s="5">
        <v>35</v>
      </c>
    </row>
    <row r="406" spans="1:3" x14ac:dyDescent="0.35">
      <c r="A406" s="4" t="s">
        <v>47</v>
      </c>
      <c r="B406" s="1" t="s">
        <v>8</v>
      </c>
      <c r="C406" s="5">
        <v>83.460000000000008</v>
      </c>
    </row>
    <row r="407" spans="1:3" x14ac:dyDescent="0.35">
      <c r="A407" s="4" t="s">
        <v>47</v>
      </c>
      <c r="B407" s="1" t="s">
        <v>12</v>
      </c>
      <c r="C407" s="5">
        <v>3</v>
      </c>
    </row>
    <row r="408" spans="1:3" x14ac:dyDescent="0.35">
      <c r="A408" s="4" t="s">
        <v>47</v>
      </c>
      <c r="B408" s="1" t="s">
        <v>50</v>
      </c>
      <c r="C408" s="5">
        <v>5</v>
      </c>
    </row>
    <row r="409" spans="1:3" x14ac:dyDescent="0.35">
      <c r="A409" s="4" t="s">
        <v>47</v>
      </c>
      <c r="B409" s="1" t="s">
        <v>51</v>
      </c>
      <c r="C409" s="6">
        <v>18.05</v>
      </c>
    </row>
    <row r="410" spans="1:3" x14ac:dyDescent="0.35">
      <c r="A410" s="4" t="s">
        <v>48</v>
      </c>
      <c r="B410" s="1" t="s">
        <v>2</v>
      </c>
      <c r="C410" s="5">
        <v>64</v>
      </c>
    </row>
    <row r="411" spans="1:3" x14ac:dyDescent="0.35">
      <c r="A411" s="4" t="s">
        <v>48</v>
      </c>
      <c r="B411" s="1" t="s">
        <v>7</v>
      </c>
      <c r="C411" s="5">
        <v>52</v>
      </c>
    </row>
    <row r="412" spans="1:3" x14ac:dyDescent="0.35">
      <c r="A412" s="4" t="s">
        <v>48</v>
      </c>
      <c r="B412" s="1" t="s">
        <v>4</v>
      </c>
      <c r="C412" s="5">
        <v>37</v>
      </c>
    </row>
    <row r="413" spans="1:3" x14ac:dyDescent="0.35">
      <c r="A413" s="4" t="s">
        <v>48</v>
      </c>
      <c r="B413" s="1" t="s">
        <v>9</v>
      </c>
      <c r="C413" s="5">
        <v>15</v>
      </c>
    </row>
    <row r="414" spans="1:3" x14ac:dyDescent="0.35">
      <c r="A414" s="4" t="s">
        <v>48</v>
      </c>
      <c r="B414" s="1" t="s">
        <v>3</v>
      </c>
      <c r="C414" s="5">
        <v>50</v>
      </c>
    </row>
    <row r="415" spans="1:3" x14ac:dyDescent="0.35">
      <c r="A415" s="4" t="s">
        <v>48</v>
      </c>
      <c r="B415" s="1" t="s">
        <v>10</v>
      </c>
      <c r="C415" s="5">
        <v>14</v>
      </c>
    </row>
    <row r="416" spans="1:3" x14ac:dyDescent="0.35">
      <c r="A416" s="4" t="s">
        <v>48</v>
      </c>
      <c r="B416" s="1" t="s">
        <v>6</v>
      </c>
      <c r="C416" s="5">
        <v>58</v>
      </c>
    </row>
    <row r="417" spans="1:3" x14ac:dyDescent="0.35">
      <c r="A417" s="4" t="s">
        <v>48</v>
      </c>
      <c r="B417" s="1" t="s">
        <v>11</v>
      </c>
      <c r="C417" s="5">
        <v>33</v>
      </c>
    </row>
    <row r="418" spans="1:3" x14ac:dyDescent="0.35">
      <c r="A418" s="4" t="s">
        <v>48</v>
      </c>
      <c r="B418" s="1" t="s">
        <v>8</v>
      </c>
      <c r="C418" s="5">
        <v>87.210000000000008</v>
      </c>
    </row>
    <row r="419" spans="1:3" x14ac:dyDescent="0.35">
      <c r="A419" s="4" t="s">
        <v>48</v>
      </c>
      <c r="B419" s="1" t="s">
        <v>12</v>
      </c>
      <c r="C419" s="5">
        <v>3</v>
      </c>
    </row>
    <row r="420" spans="1:3" x14ac:dyDescent="0.35">
      <c r="A420" s="4" t="s">
        <v>48</v>
      </c>
      <c r="B420" s="1" t="s">
        <v>50</v>
      </c>
      <c r="C420" s="5">
        <v>5</v>
      </c>
    </row>
    <row r="421" spans="1:3" x14ac:dyDescent="0.35">
      <c r="A421" s="4" t="s">
        <v>48</v>
      </c>
      <c r="B421" s="1" t="s">
        <v>51</v>
      </c>
      <c r="C421" s="6">
        <v>18.010000000000002</v>
      </c>
    </row>
    <row r="422" spans="1:3" x14ac:dyDescent="0.35">
      <c r="A422" s="4" t="s">
        <v>49</v>
      </c>
      <c r="B422" s="1" t="s">
        <v>2</v>
      </c>
      <c r="C422" s="5">
        <v>66</v>
      </c>
    </row>
    <row r="423" spans="1:3" x14ac:dyDescent="0.35">
      <c r="A423" s="4" t="s">
        <v>49</v>
      </c>
      <c r="B423" s="1" t="s">
        <v>7</v>
      </c>
      <c r="C423" s="5">
        <v>56</v>
      </c>
    </row>
    <row r="424" spans="1:3" x14ac:dyDescent="0.35">
      <c r="A424" s="4" t="s">
        <v>49</v>
      </c>
      <c r="B424" s="1" t="s">
        <v>4</v>
      </c>
      <c r="C424" s="5">
        <v>38</v>
      </c>
    </row>
    <row r="425" spans="1:3" x14ac:dyDescent="0.35">
      <c r="A425" s="4" t="s">
        <v>49</v>
      </c>
      <c r="B425" s="1" t="s">
        <v>9</v>
      </c>
      <c r="C425" s="5">
        <v>13</v>
      </c>
    </row>
    <row r="426" spans="1:3" x14ac:dyDescent="0.35">
      <c r="A426" s="4" t="s">
        <v>49</v>
      </c>
      <c r="B426" s="1" t="s">
        <v>3</v>
      </c>
      <c r="C426" s="5">
        <v>41</v>
      </c>
    </row>
    <row r="427" spans="1:3" x14ac:dyDescent="0.35">
      <c r="A427" s="4" t="s">
        <v>49</v>
      </c>
      <c r="B427" s="1" t="s">
        <v>10</v>
      </c>
      <c r="C427" s="5">
        <v>18</v>
      </c>
    </row>
    <row r="428" spans="1:3" x14ac:dyDescent="0.35">
      <c r="A428" s="4" t="s">
        <v>49</v>
      </c>
      <c r="B428" s="1" t="s">
        <v>6</v>
      </c>
      <c r="C428" s="5">
        <v>65</v>
      </c>
    </row>
    <row r="429" spans="1:3" x14ac:dyDescent="0.35">
      <c r="A429" s="4" t="s">
        <v>49</v>
      </c>
      <c r="B429" s="1" t="s">
        <v>11</v>
      </c>
      <c r="C429" s="5">
        <v>30</v>
      </c>
    </row>
    <row r="430" spans="1:3" x14ac:dyDescent="0.35">
      <c r="A430" s="4" t="s">
        <v>49</v>
      </c>
      <c r="B430" s="1" t="s">
        <v>8</v>
      </c>
      <c r="C430" s="5">
        <v>91.56</v>
      </c>
    </row>
    <row r="431" spans="1:3" x14ac:dyDescent="0.35">
      <c r="A431" s="4" t="s">
        <v>49</v>
      </c>
      <c r="B431" s="1" t="s">
        <v>12</v>
      </c>
      <c r="C431" s="5">
        <v>4</v>
      </c>
    </row>
    <row r="432" spans="1:3" x14ac:dyDescent="0.35">
      <c r="A432" s="4" t="s">
        <v>49</v>
      </c>
      <c r="B432" s="1" t="s">
        <v>50</v>
      </c>
      <c r="C432" s="5">
        <v>4</v>
      </c>
    </row>
    <row r="433" spans="1:3" x14ac:dyDescent="0.35">
      <c r="A433" s="4" t="s">
        <v>49</v>
      </c>
      <c r="B433" s="1" t="s">
        <v>51</v>
      </c>
      <c r="C433" s="6">
        <v>18.130000000000003</v>
      </c>
    </row>
    <row r="434" spans="1:3" x14ac:dyDescent="0.35">
      <c r="A434" t="s">
        <v>25</v>
      </c>
      <c r="B434" t="s">
        <v>52</v>
      </c>
      <c r="C434">
        <v>524</v>
      </c>
    </row>
    <row r="435" spans="1:3" x14ac:dyDescent="0.35">
      <c r="A435" t="s">
        <v>37</v>
      </c>
      <c r="B435" t="s">
        <v>52</v>
      </c>
      <c r="C435">
        <v>550</v>
      </c>
    </row>
    <row r="436" spans="1:3" x14ac:dyDescent="0.35">
      <c r="A436" t="s">
        <v>49</v>
      </c>
      <c r="B436" t="s">
        <v>52</v>
      </c>
      <c r="C436">
        <v>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44"/>
  <sheetViews>
    <sheetView workbookViewId="0">
      <selection activeCell="B1" sqref="A1:XFD3"/>
    </sheetView>
  </sheetViews>
  <sheetFormatPr defaultColWidth="9.1796875" defaultRowHeight="11.5" x14ac:dyDescent="0.25"/>
  <cols>
    <col min="1" max="1" width="2" style="2" customWidth="1"/>
    <col min="2" max="2" width="26.453125" style="2" bestFit="1" customWidth="1"/>
    <col min="3" max="16384" width="9.1796875" style="2"/>
  </cols>
  <sheetData>
    <row r="1" spans="2:4" ht="12" thickBot="1" x14ac:dyDescent="0.3">
      <c r="B1" s="8" t="s">
        <v>66</v>
      </c>
      <c r="C1" s="13"/>
      <c r="D1" s="16">
        <v>42004</v>
      </c>
    </row>
    <row r="2" spans="2:4" ht="14.5" x14ac:dyDescent="0.35">
      <c r="B2" s="2" t="s">
        <v>67</v>
      </c>
      <c r="C2" s="7"/>
      <c r="D2" s="11">
        <v>44.609000000000002</v>
      </c>
    </row>
    <row r="3" spans="2:4" ht="14.5" x14ac:dyDescent="0.35">
      <c r="B3" s="2" t="s">
        <v>68</v>
      </c>
      <c r="C3" s="7"/>
      <c r="D3" s="11">
        <v>33.097000000000001</v>
      </c>
    </row>
    <row r="4" spans="2:4" ht="14.5" x14ac:dyDescent="0.35">
      <c r="B4" s="2" t="s">
        <v>69</v>
      </c>
      <c r="C4" s="7"/>
      <c r="D4" s="11">
        <v>31.658000000000001</v>
      </c>
    </row>
    <row r="5" spans="2:4" ht="14.5" x14ac:dyDescent="0.35">
      <c r="B5" s="2" t="s">
        <v>70</v>
      </c>
      <c r="C5" s="7"/>
      <c r="D5" s="11">
        <v>20.146000000000004</v>
      </c>
    </row>
    <row r="6" spans="2:4" ht="14.5" x14ac:dyDescent="0.35">
      <c r="B6" s="2" t="s">
        <v>71</v>
      </c>
      <c r="C6" s="7"/>
      <c r="D6" s="11">
        <v>14.39</v>
      </c>
    </row>
    <row r="7" spans="2:4" x14ac:dyDescent="0.25">
      <c r="B7" s="9" t="s">
        <v>72</v>
      </c>
      <c r="C7" s="9"/>
      <c r="D7" s="12">
        <v>143.9</v>
      </c>
    </row>
    <row r="8" spans="2:4" ht="14.5" x14ac:dyDescent="0.35">
      <c r="B8" s="2" t="s">
        <v>73</v>
      </c>
      <c r="C8" s="7"/>
      <c r="D8" s="11">
        <v>29.749999999999996</v>
      </c>
    </row>
    <row r="9" spans="2:4" ht="14.5" x14ac:dyDescent="0.35">
      <c r="B9" s="2" t="s">
        <v>74</v>
      </c>
      <c r="C9" s="7"/>
      <c r="D9" s="11">
        <v>18.7</v>
      </c>
    </row>
    <row r="10" spans="2:4" ht="14.5" x14ac:dyDescent="0.35">
      <c r="B10" s="2" t="s">
        <v>75</v>
      </c>
      <c r="C10" s="7"/>
      <c r="D10" s="11">
        <v>16.149999999999999</v>
      </c>
    </row>
    <row r="11" spans="2:4" ht="14.5" x14ac:dyDescent="0.35">
      <c r="B11" s="2" t="s">
        <v>76</v>
      </c>
      <c r="C11" s="7"/>
      <c r="D11" s="11">
        <v>11.05</v>
      </c>
    </row>
    <row r="12" spans="2:4" ht="14.5" x14ac:dyDescent="0.35">
      <c r="B12" s="2" t="s">
        <v>77</v>
      </c>
      <c r="C12" s="7"/>
      <c r="D12" s="11">
        <v>9.35</v>
      </c>
    </row>
    <row r="13" spans="2:4" x14ac:dyDescent="0.25">
      <c r="B13" s="9" t="s">
        <v>78</v>
      </c>
      <c r="C13" s="9"/>
      <c r="D13" s="12">
        <v>84.999999999999986</v>
      </c>
    </row>
    <row r="14" spans="2:4" ht="14.5" x14ac:dyDescent="0.35">
      <c r="B14" s="2" t="s">
        <v>79</v>
      </c>
      <c r="C14" s="7"/>
      <c r="D14" s="11">
        <v>346.47500000000002</v>
      </c>
    </row>
    <row r="15" spans="2:4" ht="14.5" x14ac:dyDescent="0.35">
      <c r="B15" s="2" t="s">
        <v>80</v>
      </c>
      <c r="C15" s="7"/>
      <c r="D15" s="11">
        <v>139.52500000000001</v>
      </c>
    </row>
    <row r="16" spans="2:4" ht="14.5" x14ac:dyDescent="0.35">
      <c r="B16" s="2" t="s">
        <v>81</v>
      </c>
      <c r="C16" s="7"/>
      <c r="D16" s="11">
        <v>125.575</v>
      </c>
    </row>
    <row r="17" spans="2:6" ht="14.5" x14ac:dyDescent="0.35">
      <c r="B17" s="2" t="s">
        <v>82</v>
      </c>
      <c r="C17" s="7"/>
      <c r="D17" s="11">
        <v>20.925000000000001</v>
      </c>
    </row>
    <row r="18" spans="2:6" x14ac:dyDescent="0.25">
      <c r="B18" s="9" t="s">
        <v>83</v>
      </c>
      <c r="C18" s="9"/>
      <c r="D18" s="12">
        <v>632.5</v>
      </c>
    </row>
    <row r="19" spans="2:6" ht="14.5" x14ac:dyDescent="0.35">
      <c r="B19" s="2" t="s">
        <v>84</v>
      </c>
      <c r="C19" s="7"/>
      <c r="D19" s="15">
        <v>16.12</v>
      </c>
    </row>
    <row r="20" spans="2:6" ht="14.5" x14ac:dyDescent="0.35">
      <c r="B20" s="2" t="s">
        <v>85</v>
      </c>
      <c r="C20" s="7"/>
      <c r="D20" s="15">
        <v>6.2</v>
      </c>
    </row>
    <row r="21" spans="2:6" ht="14.5" x14ac:dyDescent="0.35">
      <c r="B21" s="2" t="s">
        <v>86</v>
      </c>
      <c r="C21" s="7"/>
      <c r="D21" s="15">
        <v>2.4800000000000004</v>
      </c>
    </row>
    <row r="22" spans="2:6" x14ac:dyDescent="0.25">
      <c r="B22" s="9" t="s">
        <v>87</v>
      </c>
      <c r="C22" s="9"/>
      <c r="D22" s="9">
        <v>24.8</v>
      </c>
    </row>
    <row r="23" spans="2:6" ht="14.5" x14ac:dyDescent="0.35">
      <c r="B23" s="2" t="s">
        <v>88</v>
      </c>
      <c r="C23" s="7"/>
      <c r="D23" s="2">
        <v>45.9</v>
      </c>
    </row>
    <row r="24" spans="2:6" x14ac:dyDescent="0.25">
      <c r="B24" s="9" t="s">
        <v>88</v>
      </c>
      <c r="C24" s="9"/>
      <c r="D24" s="9">
        <v>45.9</v>
      </c>
      <c r="F24" s="2" t="b">
        <f>B24=B23</f>
        <v>1</v>
      </c>
    </row>
    <row r="25" spans="2:6" ht="12" thickBot="1" x14ac:dyDescent="0.3">
      <c r="B25" s="10" t="s">
        <v>89</v>
      </c>
      <c r="C25" s="10"/>
      <c r="D25" s="17">
        <v>932.09999999999991</v>
      </c>
    </row>
    <row r="26" spans="2:6" ht="14.5" x14ac:dyDescent="0.35">
      <c r="B26" s="2" t="s">
        <v>90</v>
      </c>
      <c r="C26" s="7"/>
      <c r="D26" s="11">
        <v>17</v>
      </c>
    </row>
    <row r="27" spans="2:6" ht="14.5" x14ac:dyDescent="0.35">
      <c r="B27" s="2" t="s">
        <v>91</v>
      </c>
      <c r="C27" s="7"/>
      <c r="D27" s="11">
        <v>17</v>
      </c>
    </row>
    <row r="28" spans="2:6" ht="14.5" x14ac:dyDescent="0.35">
      <c r="B28" s="2" t="s">
        <v>92</v>
      </c>
      <c r="C28" s="7"/>
      <c r="D28" s="11">
        <v>14.96</v>
      </c>
    </row>
    <row r="29" spans="2:6" ht="14.5" x14ac:dyDescent="0.35">
      <c r="B29" s="2" t="s">
        <v>93</v>
      </c>
      <c r="C29" s="7"/>
      <c r="D29" s="11">
        <v>10.199999999999999</v>
      </c>
    </row>
    <row r="30" spans="2:6" ht="14.5" x14ac:dyDescent="0.35">
      <c r="B30" s="2" t="s">
        <v>94</v>
      </c>
      <c r="C30" s="7"/>
      <c r="D30" s="11">
        <v>8.84</v>
      </c>
    </row>
    <row r="31" spans="2:6" x14ac:dyDescent="0.25">
      <c r="B31" s="9" t="s">
        <v>95</v>
      </c>
      <c r="C31" s="9"/>
      <c r="D31" s="12">
        <v>68</v>
      </c>
    </row>
    <row r="32" spans="2:6" ht="14.5" x14ac:dyDescent="0.35">
      <c r="B32" s="2" t="s">
        <v>96</v>
      </c>
      <c r="C32" s="7"/>
      <c r="D32" s="11">
        <v>22.424999999999997</v>
      </c>
    </row>
    <row r="33" spans="2:4" ht="14.5" x14ac:dyDescent="0.35">
      <c r="B33" s="2" t="s">
        <v>97</v>
      </c>
      <c r="C33" s="7"/>
      <c r="D33" s="11">
        <v>6.8250000000000002</v>
      </c>
    </row>
    <row r="34" spans="2:4" ht="14.5" x14ac:dyDescent="0.35">
      <c r="B34" s="2" t="s">
        <v>98</v>
      </c>
      <c r="C34" s="7"/>
      <c r="D34" s="11">
        <v>3.25</v>
      </c>
    </row>
    <row r="35" spans="2:4" x14ac:dyDescent="0.25">
      <c r="B35" s="9" t="s">
        <v>99</v>
      </c>
      <c r="C35" s="9"/>
      <c r="D35" s="9">
        <v>32.5</v>
      </c>
    </row>
    <row r="36" spans="2:4" ht="14.5" x14ac:dyDescent="0.35">
      <c r="B36" s="2" t="s">
        <v>100</v>
      </c>
      <c r="C36" s="7"/>
      <c r="D36" s="2">
        <v>615.79999999999995</v>
      </c>
    </row>
    <row r="37" spans="2:4" x14ac:dyDescent="0.25">
      <c r="B37" s="9" t="s">
        <v>101</v>
      </c>
      <c r="C37" s="9"/>
      <c r="D37" s="9">
        <v>615.79999999999995</v>
      </c>
    </row>
    <row r="38" spans="2:4" ht="14.5" x14ac:dyDescent="0.35">
      <c r="B38" s="2" t="s">
        <v>102</v>
      </c>
      <c r="C38" s="7"/>
      <c r="D38" s="2">
        <v>48.3</v>
      </c>
    </row>
    <row r="39" spans="2:4" x14ac:dyDescent="0.25">
      <c r="B39" s="9" t="s">
        <v>102</v>
      </c>
      <c r="C39" s="9"/>
      <c r="D39" s="9">
        <v>48.3</v>
      </c>
    </row>
    <row r="40" spans="2:4" ht="14.5" x14ac:dyDescent="0.35">
      <c r="B40" s="2" t="s">
        <v>103</v>
      </c>
      <c r="C40" s="7"/>
      <c r="D40" s="11">
        <v>132.32500000000002</v>
      </c>
    </row>
    <row r="41" spans="2:4" ht="14.5" x14ac:dyDescent="0.35">
      <c r="B41" s="2" t="s">
        <v>104</v>
      </c>
      <c r="C41" s="7"/>
      <c r="D41" s="11">
        <v>18.425000000000001</v>
      </c>
    </row>
    <row r="42" spans="2:4" ht="14.5" x14ac:dyDescent="0.35">
      <c r="B42" s="2" t="s">
        <v>105</v>
      </c>
      <c r="C42" s="7"/>
      <c r="D42" s="11">
        <v>16.75</v>
      </c>
    </row>
    <row r="43" spans="2:4" x14ac:dyDescent="0.25">
      <c r="B43" s="9" t="s">
        <v>106</v>
      </c>
      <c r="C43" s="9"/>
      <c r="D43" s="9">
        <v>167.50000000000003</v>
      </c>
    </row>
    <row r="44" spans="2:4" ht="12" thickBot="1" x14ac:dyDescent="0.3">
      <c r="B44" s="10" t="s">
        <v>107</v>
      </c>
      <c r="C44" s="10"/>
      <c r="D44" s="10">
        <v>932.1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55"/>
  <sheetViews>
    <sheetView workbookViewId="0">
      <selection activeCell="D1" sqref="A1:XFD3"/>
    </sheetView>
  </sheetViews>
  <sheetFormatPr defaultColWidth="9.1796875" defaultRowHeight="11.5" x14ac:dyDescent="0.25"/>
  <cols>
    <col min="1" max="1" width="2" style="2" customWidth="1"/>
    <col min="2" max="2" width="26.453125" style="2" bestFit="1" customWidth="1"/>
    <col min="3" max="16384" width="9.1796875" style="2"/>
  </cols>
  <sheetData>
    <row r="1" spans="2:4" ht="12" thickBot="1" x14ac:dyDescent="0.3">
      <c r="B1" s="8" t="s">
        <v>66</v>
      </c>
      <c r="C1" s="8" t="s">
        <v>108</v>
      </c>
      <c r="D1" s="16">
        <v>42369</v>
      </c>
    </row>
    <row r="2" spans="2:4" x14ac:dyDescent="0.25">
      <c r="B2" s="2" t="s">
        <v>67</v>
      </c>
      <c r="C2" s="2" t="s">
        <v>109</v>
      </c>
      <c r="D2" s="11">
        <v>40.248000000000005</v>
      </c>
    </row>
    <row r="3" spans="2:4" x14ac:dyDescent="0.25">
      <c r="B3" s="2" t="s">
        <v>69</v>
      </c>
      <c r="C3" s="2" t="s">
        <v>109</v>
      </c>
      <c r="D3" s="11">
        <v>34.056000000000004</v>
      </c>
    </row>
    <row r="4" spans="2:4" x14ac:dyDescent="0.25">
      <c r="B4" s="2" t="s">
        <v>68</v>
      </c>
      <c r="C4" s="2" t="s">
        <v>109</v>
      </c>
      <c r="D4" s="11">
        <v>29.412000000000003</v>
      </c>
    </row>
    <row r="5" spans="2:4" x14ac:dyDescent="0.25">
      <c r="B5" s="2" t="s">
        <v>70</v>
      </c>
      <c r="C5" s="2" t="s">
        <v>109</v>
      </c>
      <c r="D5" s="11">
        <v>27.864000000000001</v>
      </c>
    </row>
    <row r="6" spans="2:4" x14ac:dyDescent="0.25">
      <c r="B6" s="2" t="s">
        <v>71</v>
      </c>
      <c r="C6" s="2" t="s">
        <v>109</v>
      </c>
      <c r="D6" s="11">
        <v>23.220000000000002</v>
      </c>
    </row>
    <row r="7" spans="2:4" x14ac:dyDescent="0.25">
      <c r="B7" s="9" t="s">
        <v>72</v>
      </c>
      <c r="C7" s="9"/>
      <c r="D7" s="12">
        <v>154.80000000000001</v>
      </c>
    </row>
    <row r="9" spans="2:4" x14ac:dyDescent="0.25">
      <c r="B9" s="2" t="s">
        <v>73</v>
      </c>
      <c r="C9" s="2" t="s">
        <v>110</v>
      </c>
      <c r="D9" s="11">
        <v>24.840000000000003</v>
      </c>
    </row>
    <row r="10" spans="2:4" x14ac:dyDescent="0.25">
      <c r="B10" s="2" t="s">
        <v>74</v>
      </c>
      <c r="C10" s="2" t="s">
        <v>110</v>
      </c>
      <c r="D10" s="11">
        <v>20.239999999999998</v>
      </c>
    </row>
    <row r="11" spans="2:4" x14ac:dyDescent="0.25">
      <c r="B11" s="2" t="s">
        <v>75</v>
      </c>
      <c r="C11" s="2" t="s">
        <v>110</v>
      </c>
      <c r="D11" s="11">
        <v>17.48</v>
      </c>
    </row>
    <row r="12" spans="2:4" x14ac:dyDescent="0.25">
      <c r="B12" s="2" t="s">
        <v>77</v>
      </c>
      <c r="C12" s="2" t="s">
        <v>110</v>
      </c>
      <c r="D12" s="11">
        <v>17.48</v>
      </c>
    </row>
    <row r="13" spans="2:4" x14ac:dyDescent="0.25">
      <c r="B13" s="2" t="s">
        <v>76</v>
      </c>
      <c r="C13" s="2" t="s">
        <v>110</v>
      </c>
      <c r="D13" s="11">
        <v>11.96</v>
      </c>
    </row>
    <row r="14" spans="2:4" x14ac:dyDescent="0.25">
      <c r="B14" s="9" t="s">
        <v>78</v>
      </c>
      <c r="C14" s="9" t="s">
        <v>110</v>
      </c>
      <c r="D14" s="12">
        <v>92.000000000000014</v>
      </c>
    </row>
    <row r="16" spans="2:4" x14ac:dyDescent="0.25">
      <c r="B16" s="2" t="s">
        <v>79</v>
      </c>
      <c r="C16" s="2" t="s">
        <v>111</v>
      </c>
      <c r="D16" s="11">
        <v>346.47500000000002</v>
      </c>
    </row>
    <row r="17" spans="2:4" x14ac:dyDescent="0.25">
      <c r="B17" s="2" t="s">
        <v>80</v>
      </c>
      <c r="C17" s="2" t="s">
        <v>111</v>
      </c>
      <c r="D17" s="11">
        <v>139.52500000000001</v>
      </c>
    </row>
    <row r="18" spans="2:4" x14ac:dyDescent="0.25">
      <c r="B18" s="2" t="s">
        <v>81</v>
      </c>
      <c r="C18" s="2" t="s">
        <v>111</v>
      </c>
      <c r="D18" s="11">
        <v>125.575</v>
      </c>
    </row>
    <row r="19" spans="2:4" x14ac:dyDescent="0.25">
      <c r="B19" s="2" t="s">
        <v>82</v>
      </c>
      <c r="C19" s="2" t="s">
        <v>111</v>
      </c>
      <c r="D19" s="11">
        <v>20.925000000000001</v>
      </c>
    </row>
    <row r="20" spans="2:4" x14ac:dyDescent="0.25">
      <c r="B20" s="9" t="s">
        <v>83</v>
      </c>
      <c r="C20" s="9" t="s">
        <v>111</v>
      </c>
      <c r="D20" s="12">
        <v>632.5</v>
      </c>
    </row>
    <row r="22" spans="2:4" x14ac:dyDescent="0.25">
      <c r="B22" s="2" t="s">
        <v>84</v>
      </c>
      <c r="C22" s="2" t="s">
        <v>112</v>
      </c>
      <c r="D22" s="15">
        <v>13.298</v>
      </c>
    </row>
    <row r="23" spans="2:4" x14ac:dyDescent="0.25">
      <c r="B23" s="2" t="s">
        <v>85</v>
      </c>
      <c r="C23" s="2" t="s">
        <v>112</v>
      </c>
      <c r="D23" s="15">
        <v>5.45</v>
      </c>
    </row>
    <row r="24" spans="2:4" x14ac:dyDescent="0.25">
      <c r="B24" s="2" t="s">
        <v>86</v>
      </c>
      <c r="C24" s="2" t="s">
        <v>112</v>
      </c>
      <c r="D24" s="15">
        <v>3.0520000000000005</v>
      </c>
    </row>
    <row r="25" spans="2:4" x14ac:dyDescent="0.25">
      <c r="B25" s="9" t="s">
        <v>87</v>
      </c>
      <c r="C25" s="9"/>
      <c r="D25" s="9">
        <v>21.8</v>
      </c>
    </row>
    <row r="27" spans="2:4" x14ac:dyDescent="0.25">
      <c r="B27" s="2" t="s">
        <v>88</v>
      </c>
      <c r="C27" s="2" t="s">
        <v>113</v>
      </c>
      <c r="D27" s="2">
        <v>46.9</v>
      </c>
    </row>
    <row r="28" spans="2:4" x14ac:dyDescent="0.25">
      <c r="B28" s="9" t="s">
        <v>88</v>
      </c>
      <c r="C28" s="9"/>
      <c r="D28" s="9">
        <v>46.9</v>
      </c>
    </row>
    <row r="29" spans="2:4" x14ac:dyDescent="0.25">
      <c r="B29" s="14"/>
      <c r="C29" s="14"/>
      <c r="D29" s="14"/>
    </row>
    <row r="30" spans="2:4" ht="12" thickBot="1" x14ac:dyDescent="0.3">
      <c r="B30" s="10" t="s">
        <v>89</v>
      </c>
      <c r="C30" s="10"/>
      <c r="D30" s="18">
        <v>947.99999999999989</v>
      </c>
    </row>
    <row r="32" spans="2:4" x14ac:dyDescent="0.25">
      <c r="B32" s="2" t="s">
        <v>90</v>
      </c>
      <c r="C32" s="2" t="s">
        <v>114</v>
      </c>
      <c r="D32" s="11">
        <v>19.981000000000002</v>
      </c>
    </row>
    <row r="33" spans="2:4" x14ac:dyDescent="0.25">
      <c r="B33" s="2" t="s">
        <v>94</v>
      </c>
      <c r="C33" s="2" t="s">
        <v>114</v>
      </c>
      <c r="D33" s="11">
        <v>15.847000000000001</v>
      </c>
    </row>
    <row r="34" spans="2:4" x14ac:dyDescent="0.25">
      <c r="B34" s="2" t="s">
        <v>91</v>
      </c>
      <c r="C34" s="2" t="s">
        <v>114</v>
      </c>
      <c r="D34" s="11">
        <v>14.469000000000001</v>
      </c>
    </row>
    <row r="35" spans="2:4" x14ac:dyDescent="0.25">
      <c r="B35" s="2" t="s">
        <v>93</v>
      </c>
      <c r="C35" s="2" t="s">
        <v>114</v>
      </c>
      <c r="D35" s="11">
        <v>10.335000000000001</v>
      </c>
    </row>
    <row r="36" spans="2:4" x14ac:dyDescent="0.25">
      <c r="B36" s="2" t="s">
        <v>92</v>
      </c>
      <c r="C36" s="2" t="s">
        <v>114</v>
      </c>
      <c r="D36" s="11">
        <v>8.2680000000000007</v>
      </c>
    </row>
    <row r="37" spans="2:4" x14ac:dyDescent="0.25">
      <c r="B37" s="9" t="s">
        <v>95</v>
      </c>
      <c r="C37" s="9"/>
      <c r="D37" s="12">
        <v>68.900000000000006</v>
      </c>
    </row>
    <row r="39" spans="2:4" x14ac:dyDescent="0.25">
      <c r="B39" s="2" t="s">
        <v>96</v>
      </c>
      <c r="C39" s="2" t="s">
        <v>111</v>
      </c>
      <c r="D39" s="11">
        <v>17.506999999999998</v>
      </c>
    </row>
    <row r="40" spans="2:4" x14ac:dyDescent="0.25">
      <c r="B40" s="2" t="s">
        <v>97</v>
      </c>
      <c r="C40" s="2" t="s">
        <v>111</v>
      </c>
      <c r="D40" s="11">
        <v>6.601</v>
      </c>
    </row>
    <row r="41" spans="2:4" x14ac:dyDescent="0.25">
      <c r="B41" s="2" t="s">
        <v>98</v>
      </c>
      <c r="C41" s="2" t="s">
        <v>111</v>
      </c>
      <c r="D41" s="11">
        <v>4.5919999999999996</v>
      </c>
    </row>
    <row r="42" spans="2:4" x14ac:dyDescent="0.25">
      <c r="B42" s="9" t="s">
        <v>99</v>
      </c>
      <c r="C42" s="9"/>
      <c r="D42" s="9">
        <v>28.699999999999996</v>
      </c>
    </row>
    <row r="44" spans="2:4" x14ac:dyDescent="0.25">
      <c r="B44" s="2" t="s">
        <v>100</v>
      </c>
      <c r="C44" s="2" t="s">
        <v>115</v>
      </c>
      <c r="D44" s="2">
        <v>610.4</v>
      </c>
    </row>
    <row r="45" spans="2:4" x14ac:dyDescent="0.25">
      <c r="B45" s="9" t="s">
        <v>101</v>
      </c>
      <c r="C45" s="9"/>
      <c r="D45" s="9">
        <v>610.4</v>
      </c>
    </row>
    <row r="47" spans="2:4" x14ac:dyDescent="0.25">
      <c r="B47" s="2" t="s">
        <v>102</v>
      </c>
      <c r="C47" s="2" t="s">
        <v>113</v>
      </c>
      <c r="D47" s="2">
        <v>43.3</v>
      </c>
    </row>
    <row r="48" spans="2:4" x14ac:dyDescent="0.25">
      <c r="B48" s="9" t="s">
        <v>102</v>
      </c>
      <c r="C48" s="9"/>
      <c r="D48" s="9">
        <v>43.3</v>
      </c>
    </row>
    <row r="50" spans="2:4" x14ac:dyDescent="0.25">
      <c r="B50" s="2" t="s">
        <v>103</v>
      </c>
      <c r="C50" s="2" t="s">
        <v>116</v>
      </c>
      <c r="D50" s="11">
        <v>161.52499999999998</v>
      </c>
    </row>
    <row r="51" spans="2:4" x14ac:dyDescent="0.25">
      <c r="B51" s="2" t="s">
        <v>104</v>
      </c>
      <c r="C51" s="2" t="s">
        <v>116</v>
      </c>
      <c r="D51" s="11">
        <v>18.425000000000001</v>
      </c>
    </row>
    <row r="52" spans="2:4" x14ac:dyDescent="0.25">
      <c r="B52" s="2" t="s">
        <v>105</v>
      </c>
      <c r="C52" s="2" t="s">
        <v>116</v>
      </c>
      <c r="D52" s="11">
        <v>16.75</v>
      </c>
    </row>
    <row r="53" spans="2:4" x14ac:dyDescent="0.25">
      <c r="B53" s="9" t="s">
        <v>106</v>
      </c>
      <c r="C53" s="9"/>
      <c r="D53" s="9">
        <v>196.7</v>
      </c>
    </row>
    <row r="55" spans="2:4" ht="12" thickBot="1" x14ac:dyDescent="0.3">
      <c r="B55" s="10" t="s">
        <v>107</v>
      </c>
      <c r="C55" s="10"/>
      <c r="D55" s="18">
        <v>948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55"/>
  <sheetViews>
    <sheetView workbookViewId="0">
      <selection activeCell="B3" sqref="A1:XFD3"/>
    </sheetView>
  </sheetViews>
  <sheetFormatPr defaultColWidth="9.1796875" defaultRowHeight="11.5" x14ac:dyDescent="0.25"/>
  <cols>
    <col min="1" max="1" width="2" style="2" customWidth="1"/>
    <col min="2" max="2" width="26.453125" style="2" bestFit="1" customWidth="1"/>
    <col min="3" max="16384" width="9.1796875" style="2"/>
  </cols>
  <sheetData>
    <row r="1" spans="2:5" ht="12" thickBot="1" x14ac:dyDescent="0.3">
      <c r="B1" s="8" t="s">
        <v>66</v>
      </c>
      <c r="C1" s="16" t="s">
        <v>108</v>
      </c>
      <c r="D1" s="16" t="s">
        <v>117</v>
      </c>
      <c r="E1" s="16">
        <v>42735</v>
      </c>
    </row>
    <row r="2" spans="2:5" x14ac:dyDescent="0.25">
      <c r="B2" s="2" t="s">
        <v>67</v>
      </c>
      <c r="C2" s="2" t="s">
        <v>109</v>
      </c>
      <c r="D2" s="2" t="s">
        <v>118</v>
      </c>
      <c r="E2" s="11">
        <v>44.018000000000008</v>
      </c>
    </row>
    <row r="3" spans="2:5" x14ac:dyDescent="0.25">
      <c r="B3" s="2" t="s">
        <v>69</v>
      </c>
      <c r="C3" s="2" t="s">
        <v>109</v>
      </c>
      <c r="D3" s="2" t="s">
        <v>118</v>
      </c>
      <c r="E3" s="11">
        <v>40.631999999999998</v>
      </c>
    </row>
    <row r="4" spans="2:5" x14ac:dyDescent="0.25">
      <c r="B4" s="2" t="s">
        <v>68</v>
      </c>
      <c r="C4" s="2" t="s">
        <v>109</v>
      </c>
      <c r="D4" s="2" t="s">
        <v>118</v>
      </c>
      <c r="E4" s="11">
        <v>32.167000000000002</v>
      </c>
    </row>
    <row r="5" spans="2:5" x14ac:dyDescent="0.25">
      <c r="B5" s="2" t="s">
        <v>70</v>
      </c>
      <c r="C5" s="2" t="s">
        <v>109</v>
      </c>
      <c r="D5" s="2" t="s">
        <v>118</v>
      </c>
      <c r="E5" s="11">
        <v>27.088000000000001</v>
      </c>
    </row>
    <row r="6" spans="2:5" x14ac:dyDescent="0.25">
      <c r="B6" s="2" t="s">
        <v>71</v>
      </c>
      <c r="C6" s="2" t="s">
        <v>109</v>
      </c>
      <c r="D6" s="2" t="s">
        <v>118</v>
      </c>
      <c r="E6" s="11">
        <v>25.395</v>
      </c>
    </row>
    <row r="7" spans="2:5" x14ac:dyDescent="0.25">
      <c r="B7" s="9" t="s">
        <v>72</v>
      </c>
      <c r="C7" s="9"/>
      <c r="D7" s="9"/>
      <c r="E7" s="12">
        <v>169.3</v>
      </c>
    </row>
    <row r="9" spans="2:5" x14ac:dyDescent="0.25">
      <c r="B9" s="2" t="s">
        <v>73</v>
      </c>
      <c r="C9" s="2" t="s">
        <v>110</v>
      </c>
      <c r="D9" s="2" t="s">
        <v>118</v>
      </c>
      <c r="E9" s="11">
        <v>26.4</v>
      </c>
    </row>
    <row r="10" spans="2:5" x14ac:dyDescent="0.25">
      <c r="B10" s="2" t="s">
        <v>74</v>
      </c>
      <c r="C10" s="2" t="s">
        <v>110</v>
      </c>
      <c r="D10" s="2" t="s">
        <v>118</v>
      </c>
      <c r="E10" s="11">
        <v>25.3</v>
      </c>
    </row>
    <row r="11" spans="2:5" x14ac:dyDescent="0.25">
      <c r="B11" s="2" t="s">
        <v>75</v>
      </c>
      <c r="C11" s="2" t="s">
        <v>110</v>
      </c>
      <c r="D11" s="2" t="s">
        <v>118</v>
      </c>
      <c r="E11" s="11">
        <v>20.9</v>
      </c>
    </row>
    <row r="12" spans="2:5" x14ac:dyDescent="0.25">
      <c r="B12" s="2" t="s">
        <v>77</v>
      </c>
      <c r="C12" s="2" t="s">
        <v>110</v>
      </c>
      <c r="D12" s="2" t="s">
        <v>118</v>
      </c>
      <c r="E12" s="11">
        <v>20.9</v>
      </c>
    </row>
    <row r="13" spans="2:5" x14ac:dyDescent="0.25">
      <c r="B13" s="2" t="s">
        <v>76</v>
      </c>
      <c r="C13" s="2" t="s">
        <v>110</v>
      </c>
      <c r="D13" s="2" t="s">
        <v>118</v>
      </c>
      <c r="E13" s="11">
        <v>16.5</v>
      </c>
    </row>
    <row r="14" spans="2:5" x14ac:dyDescent="0.25">
      <c r="B14" s="9" t="s">
        <v>78</v>
      </c>
      <c r="C14" s="9" t="s">
        <v>110</v>
      </c>
      <c r="D14" s="9"/>
      <c r="E14" s="12">
        <v>110</v>
      </c>
    </row>
    <row r="16" spans="2:5" x14ac:dyDescent="0.25">
      <c r="B16" s="2" t="s">
        <v>79</v>
      </c>
      <c r="C16" s="2" t="s">
        <v>111</v>
      </c>
      <c r="D16" s="2" t="s">
        <v>118</v>
      </c>
      <c r="E16" s="11">
        <v>350.51</v>
      </c>
    </row>
    <row r="17" spans="2:5" x14ac:dyDescent="0.25">
      <c r="B17" s="2" t="s">
        <v>80</v>
      </c>
      <c r="C17" s="2" t="s">
        <v>111</v>
      </c>
      <c r="D17" s="2" t="s">
        <v>118</v>
      </c>
      <c r="E17" s="11">
        <v>146.71</v>
      </c>
    </row>
    <row r="18" spans="2:5" x14ac:dyDescent="0.25">
      <c r="B18" s="2" t="s">
        <v>81</v>
      </c>
      <c r="C18" s="2" t="s">
        <v>111</v>
      </c>
      <c r="D18" s="2" t="s">
        <v>118</v>
      </c>
      <c r="E18" s="11">
        <v>133.73500000000001</v>
      </c>
    </row>
    <row r="19" spans="2:5" x14ac:dyDescent="0.25">
      <c r="B19" s="2" t="s">
        <v>82</v>
      </c>
      <c r="C19" s="2" t="s">
        <v>111</v>
      </c>
      <c r="D19" s="2" t="s">
        <v>118</v>
      </c>
      <c r="E19" s="11">
        <v>28.545000000000002</v>
      </c>
    </row>
    <row r="20" spans="2:5" x14ac:dyDescent="0.25">
      <c r="B20" s="9" t="s">
        <v>83</v>
      </c>
      <c r="C20" s="9"/>
      <c r="D20" s="9"/>
      <c r="E20" s="12">
        <v>659.5</v>
      </c>
    </row>
    <row r="22" spans="2:5" x14ac:dyDescent="0.25">
      <c r="B22" s="2" t="s">
        <v>84</v>
      </c>
      <c r="C22" s="2" t="s">
        <v>112</v>
      </c>
      <c r="D22" s="2" t="s">
        <v>118</v>
      </c>
      <c r="E22" s="15">
        <v>125.39999999999999</v>
      </c>
    </row>
    <row r="23" spans="2:5" x14ac:dyDescent="0.25">
      <c r="B23" s="2" t="s">
        <v>85</v>
      </c>
      <c r="C23" s="2" t="s">
        <v>112</v>
      </c>
      <c r="D23" s="2" t="s">
        <v>118</v>
      </c>
      <c r="E23" s="15">
        <v>59.400000000000006</v>
      </c>
    </row>
    <row r="24" spans="2:5" x14ac:dyDescent="0.25">
      <c r="B24" s="2" t="s">
        <v>86</v>
      </c>
      <c r="C24" s="2" t="s">
        <v>112</v>
      </c>
      <c r="D24" s="2" t="s">
        <v>118</v>
      </c>
      <c r="E24" s="15">
        <v>35.200000000000003</v>
      </c>
    </row>
    <row r="25" spans="2:5" x14ac:dyDescent="0.25">
      <c r="B25" s="9" t="s">
        <v>87</v>
      </c>
      <c r="C25" s="9"/>
      <c r="D25" s="9"/>
      <c r="E25" s="19">
        <v>220</v>
      </c>
    </row>
    <row r="27" spans="2:5" x14ac:dyDescent="0.25">
      <c r="B27" s="2" t="s">
        <v>88</v>
      </c>
      <c r="C27" s="2" t="s">
        <v>113</v>
      </c>
      <c r="D27" s="2" t="s">
        <v>118</v>
      </c>
      <c r="E27" s="15">
        <v>68</v>
      </c>
    </row>
    <row r="28" spans="2:5" x14ac:dyDescent="0.25">
      <c r="B28" s="9" t="s">
        <v>88</v>
      </c>
      <c r="C28" s="9"/>
      <c r="D28" s="9"/>
      <c r="E28" s="19">
        <v>68</v>
      </c>
    </row>
    <row r="29" spans="2:5" x14ac:dyDescent="0.25">
      <c r="B29" s="14"/>
      <c r="C29" s="14"/>
      <c r="D29" s="14"/>
      <c r="E29" s="14"/>
    </row>
    <row r="30" spans="2:5" ht="12" thickBot="1" x14ac:dyDescent="0.3">
      <c r="B30" s="10" t="s">
        <v>89</v>
      </c>
      <c r="C30" s="10"/>
      <c r="D30" s="10"/>
      <c r="E30" s="18">
        <v>1226.8</v>
      </c>
    </row>
    <row r="32" spans="2:5" x14ac:dyDescent="0.25">
      <c r="B32" s="2" t="s">
        <v>90</v>
      </c>
      <c r="C32" s="2" t="s">
        <v>114</v>
      </c>
      <c r="D32" s="2" t="s">
        <v>119</v>
      </c>
      <c r="E32" s="11">
        <v>19.981000000000002</v>
      </c>
    </row>
    <row r="33" spans="2:5" x14ac:dyDescent="0.25">
      <c r="B33" s="2" t="s">
        <v>94</v>
      </c>
      <c r="C33" s="2" t="s">
        <v>114</v>
      </c>
      <c r="D33" s="2" t="s">
        <v>119</v>
      </c>
      <c r="E33" s="11">
        <v>15.847000000000001</v>
      </c>
    </row>
    <row r="34" spans="2:5" x14ac:dyDescent="0.25">
      <c r="B34" s="2" t="s">
        <v>91</v>
      </c>
      <c r="C34" s="2" t="s">
        <v>114</v>
      </c>
      <c r="D34" s="2" t="s">
        <v>119</v>
      </c>
      <c r="E34" s="11">
        <v>14.469000000000001</v>
      </c>
    </row>
    <row r="35" spans="2:5" x14ac:dyDescent="0.25">
      <c r="B35" s="2" t="s">
        <v>93</v>
      </c>
      <c r="C35" s="2" t="s">
        <v>114</v>
      </c>
      <c r="D35" s="2" t="s">
        <v>119</v>
      </c>
      <c r="E35" s="11">
        <v>10.335000000000001</v>
      </c>
    </row>
    <row r="36" spans="2:5" x14ac:dyDescent="0.25">
      <c r="B36" s="2" t="s">
        <v>92</v>
      </c>
      <c r="C36" s="2" t="s">
        <v>114</v>
      </c>
      <c r="D36" s="2" t="s">
        <v>119</v>
      </c>
      <c r="E36" s="11">
        <v>8.2680000000000007</v>
      </c>
    </row>
    <row r="37" spans="2:5" x14ac:dyDescent="0.25">
      <c r="B37" s="9" t="s">
        <v>95</v>
      </c>
      <c r="C37" s="9"/>
      <c r="D37" s="9"/>
      <c r="E37" s="12">
        <v>68.900000000000006</v>
      </c>
    </row>
    <row r="39" spans="2:5" x14ac:dyDescent="0.25">
      <c r="B39" s="2" t="s">
        <v>96</v>
      </c>
      <c r="C39" s="2" t="s">
        <v>111</v>
      </c>
      <c r="D39" s="2" t="s">
        <v>119</v>
      </c>
      <c r="E39" s="11">
        <v>17.506999999999998</v>
      </c>
    </row>
    <row r="40" spans="2:5" x14ac:dyDescent="0.25">
      <c r="B40" s="2" t="s">
        <v>97</v>
      </c>
      <c r="C40" s="2" t="s">
        <v>111</v>
      </c>
      <c r="D40" s="2" t="s">
        <v>119</v>
      </c>
      <c r="E40" s="11">
        <v>6.601</v>
      </c>
    </row>
    <row r="41" spans="2:5" x14ac:dyDescent="0.25">
      <c r="B41" s="2" t="s">
        <v>98</v>
      </c>
      <c r="C41" s="2" t="s">
        <v>111</v>
      </c>
      <c r="D41" s="2" t="s">
        <v>119</v>
      </c>
      <c r="E41" s="11">
        <v>4.5919999999999996</v>
      </c>
    </row>
    <row r="42" spans="2:5" x14ac:dyDescent="0.25">
      <c r="B42" s="9" t="s">
        <v>99</v>
      </c>
      <c r="C42" s="9"/>
      <c r="D42" s="9"/>
      <c r="E42" s="9">
        <v>28.699999999999996</v>
      </c>
    </row>
    <row r="44" spans="2:5" x14ac:dyDescent="0.25">
      <c r="B44" s="2" t="s">
        <v>100</v>
      </c>
      <c r="C44" s="2" t="s">
        <v>115</v>
      </c>
      <c r="D44" s="2" t="s">
        <v>119</v>
      </c>
      <c r="E44" s="15">
        <v>605</v>
      </c>
    </row>
    <row r="45" spans="2:5" x14ac:dyDescent="0.25">
      <c r="B45" s="9" t="s">
        <v>101</v>
      </c>
      <c r="C45" s="9"/>
      <c r="D45" s="9"/>
      <c r="E45" s="19">
        <v>605</v>
      </c>
    </row>
    <row r="47" spans="2:5" x14ac:dyDescent="0.25">
      <c r="B47" s="2" t="s">
        <v>102</v>
      </c>
      <c r="C47" s="2" t="s">
        <v>113</v>
      </c>
      <c r="D47" s="2" t="s">
        <v>119</v>
      </c>
      <c r="E47" s="2">
        <v>38.9</v>
      </c>
    </row>
    <row r="48" spans="2:5" x14ac:dyDescent="0.25">
      <c r="B48" s="9" t="s">
        <v>102</v>
      </c>
      <c r="C48" s="9"/>
      <c r="D48" s="9"/>
      <c r="E48" s="9">
        <v>38.9</v>
      </c>
    </row>
    <row r="50" spans="2:5" x14ac:dyDescent="0.25">
      <c r="B50" s="2" t="s">
        <v>103</v>
      </c>
      <c r="C50" s="2" t="s">
        <v>116</v>
      </c>
      <c r="D50" s="2" t="s">
        <v>116</v>
      </c>
      <c r="E50" s="11">
        <v>450.125</v>
      </c>
    </row>
    <row r="51" spans="2:5" x14ac:dyDescent="0.25">
      <c r="B51" s="2" t="s">
        <v>104</v>
      </c>
      <c r="C51" s="2" t="s">
        <v>116</v>
      </c>
      <c r="D51" s="2" t="s">
        <v>116</v>
      </c>
      <c r="E51" s="11">
        <v>18.425000000000001</v>
      </c>
    </row>
    <row r="52" spans="2:5" x14ac:dyDescent="0.25">
      <c r="B52" s="2" t="s">
        <v>105</v>
      </c>
      <c r="C52" s="2" t="s">
        <v>116</v>
      </c>
      <c r="D52" s="2" t="s">
        <v>116</v>
      </c>
      <c r="E52" s="11">
        <v>16.75</v>
      </c>
    </row>
    <row r="53" spans="2:5" x14ac:dyDescent="0.25">
      <c r="B53" s="9" t="s">
        <v>106</v>
      </c>
      <c r="C53" s="9"/>
      <c r="D53" s="9"/>
      <c r="E53" s="9">
        <v>485.3</v>
      </c>
    </row>
    <row r="55" spans="2:5" ht="12" thickBot="1" x14ac:dyDescent="0.3">
      <c r="B55" s="10" t="s">
        <v>107</v>
      </c>
      <c r="C55" s="10"/>
      <c r="D55" s="10"/>
      <c r="E55" s="18">
        <v>1226.8000000000002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3"/>
  <sheetViews>
    <sheetView workbookViewId="0">
      <selection activeCell="D10" sqref="D10"/>
    </sheetView>
  </sheetViews>
  <sheetFormatPr defaultColWidth="9.1796875" defaultRowHeight="11.5" x14ac:dyDescent="0.25"/>
  <cols>
    <col min="1" max="1" width="2" style="2" customWidth="1"/>
    <col min="2" max="16384" width="9.1796875" style="2"/>
  </cols>
  <sheetData>
    <row r="13" spans="2:2" ht="37.5" x14ac:dyDescent="0.75">
      <c r="B13" s="3" t="s">
        <v>13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36"/>
  <sheetViews>
    <sheetView showGridLines="0" workbookViewId="0"/>
  </sheetViews>
  <sheetFormatPr defaultRowHeight="14.5" x14ac:dyDescent="0.35"/>
  <cols>
    <col min="1" max="2" width="14.54296875" customWidth="1"/>
    <col min="3" max="3" width="38.1796875" customWidth="1"/>
    <col min="5" max="5" width="20" customWidth="1"/>
  </cols>
  <sheetData>
    <row r="1" spans="1:5" ht="15" thickBot="1" x14ac:dyDescent="0.4">
      <c r="A1" s="21" t="s">
        <v>5</v>
      </c>
      <c r="B1" s="21" t="s">
        <v>53</v>
      </c>
      <c r="C1" s="21" t="s">
        <v>0</v>
      </c>
      <c r="D1" s="21" t="s">
        <v>1</v>
      </c>
      <c r="E1" s="21" t="s">
        <v>54</v>
      </c>
    </row>
    <row r="2" spans="1:5" x14ac:dyDescent="0.35">
      <c r="A2" s="55">
        <v>41640</v>
      </c>
      <c r="B2" s="56">
        <f>YEAR(A2)</f>
        <v>2014</v>
      </c>
      <c r="C2" s="56" t="s">
        <v>2</v>
      </c>
      <c r="D2" s="57">
        <v>72</v>
      </c>
      <c r="E2" s="20" t="s">
        <v>55</v>
      </c>
    </row>
    <row r="3" spans="1:5" x14ac:dyDescent="0.35">
      <c r="A3" s="55">
        <v>41640</v>
      </c>
      <c r="B3" s="56">
        <f t="shared" ref="B3:B66" si="0">YEAR(A3)</f>
        <v>2014</v>
      </c>
      <c r="C3" s="56" t="s">
        <v>7</v>
      </c>
      <c r="D3" s="57">
        <v>47</v>
      </c>
      <c r="E3" s="20" t="s">
        <v>56</v>
      </c>
    </row>
    <row r="4" spans="1:5" x14ac:dyDescent="0.35">
      <c r="A4" s="55">
        <v>41640</v>
      </c>
      <c r="B4" s="56">
        <f t="shared" si="0"/>
        <v>2014</v>
      </c>
      <c r="C4" s="56" t="s">
        <v>4</v>
      </c>
      <c r="D4" s="57">
        <v>37</v>
      </c>
      <c r="E4" s="20" t="s">
        <v>55</v>
      </c>
    </row>
    <row r="5" spans="1:5" x14ac:dyDescent="0.35">
      <c r="A5" s="55">
        <v>41640</v>
      </c>
      <c r="B5" s="56">
        <f t="shared" si="0"/>
        <v>2014</v>
      </c>
      <c r="C5" s="56" t="s">
        <v>9</v>
      </c>
      <c r="D5" s="57">
        <v>20</v>
      </c>
      <c r="E5" s="20" t="s">
        <v>56</v>
      </c>
    </row>
    <row r="6" spans="1:5" x14ac:dyDescent="0.35">
      <c r="A6" s="55">
        <v>41640</v>
      </c>
      <c r="B6" s="56">
        <f t="shared" si="0"/>
        <v>2014</v>
      </c>
      <c r="C6" s="56" t="s">
        <v>3</v>
      </c>
      <c r="D6" s="57">
        <v>36</v>
      </c>
      <c r="E6" s="20" t="s">
        <v>55</v>
      </c>
    </row>
    <row r="7" spans="1:5" x14ac:dyDescent="0.35">
      <c r="A7" s="55">
        <v>41640</v>
      </c>
      <c r="B7" s="56">
        <f t="shared" si="0"/>
        <v>2014</v>
      </c>
      <c r="C7" s="56" t="s">
        <v>10</v>
      </c>
      <c r="D7" s="57">
        <v>17</v>
      </c>
      <c r="E7" s="20" t="s">
        <v>56</v>
      </c>
    </row>
    <row r="8" spans="1:5" x14ac:dyDescent="0.35">
      <c r="A8" s="55">
        <v>41640</v>
      </c>
      <c r="B8" s="56">
        <f t="shared" si="0"/>
        <v>2014</v>
      </c>
      <c r="C8" s="56" t="s">
        <v>6</v>
      </c>
      <c r="D8" s="57">
        <v>57</v>
      </c>
      <c r="E8" s="20" t="s">
        <v>55</v>
      </c>
    </row>
    <row r="9" spans="1:5" x14ac:dyDescent="0.35">
      <c r="A9" s="55">
        <v>41640</v>
      </c>
      <c r="B9" s="56">
        <f t="shared" si="0"/>
        <v>2014</v>
      </c>
      <c r="C9" s="56" t="s">
        <v>11</v>
      </c>
      <c r="D9" s="57">
        <v>32</v>
      </c>
      <c r="E9" s="20" t="s">
        <v>56</v>
      </c>
    </row>
    <row r="10" spans="1:5" x14ac:dyDescent="0.35">
      <c r="A10" s="55">
        <v>41640</v>
      </c>
      <c r="B10" s="56">
        <f t="shared" si="0"/>
        <v>2014</v>
      </c>
      <c r="C10" s="56" t="s">
        <v>8</v>
      </c>
      <c r="D10" s="57">
        <v>95.399999999999991</v>
      </c>
      <c r="E10" s="20" t="s">
        <v>8</v>
      </c>
    </row>
    <row r="11" spans="1:5" x14ac:dyDescent="0.35">
      <c r="A11" s="55">
        <v>41640</v>
      </c>
      <c r="B11" s="56">
        <f t="shared" si="0"/>
        <v>2014</v>
      </c>
      <c r="C11" s="56" t="s">
        <v>12</v>
      </c>
      <c r="D11" s="57">
        <v>2</v>
      </c>
      <c r="E11" s="20" t="s">
        <v>12</v>
      </c>
    </row>
    <row r="12" spans="1:5" x14ac:dyDescent="0.35">
      <c r="A12" s="55">
        <v>41640</v>
      </c>
      <c r="B12" s="56">
        <f t="shared" si="0"/>
        <v>2014</v>
      </c>
      <c r="C12" s="56" t="s">
        <v>50</v>
      </c>
      <c r="D12" s="57">
        <v>5</v>
      </c>
      <c r="E12" s="20" t="s">
        <v>50</v>
      </c>
    </row>
    <row r="13" spans="1:5" x14ac:dyDescent="0.35">
      <c r="A13" s="55">
        <v>41640</v>
      </c>
      <c r="B13" s="56">
        <f t="shared" si="0"/>
        <v>2014</v>
      </c>
      <c r="C13" s="56" t="s">
        <v>51</v>
      </c>
      <c r="D13" s="58">
        <v>17.29</v>
      </c>
      <c r="E13" s="56" t="s">
        <v>51</v>
      </c>
    </row>
    <row r="14" spans="1:5" x14ac:dyDescent="0.35">
      <c r="A14" s="55">
        <v>41671</v>
      </c>
      <c r="B14" s="56">
        <f t="shared" si="0"/>
        <v>2014</v>
      </c>
      <c r="C14" s="56" t="s">
        <v>2</v>
      </c>
      <c r="D14" s="57">
        <v>75</v>
      </c>
      <c r="E14" s="20" t="s">
        <v>55</v>
      </c>
    </row>
    <row r="15" spans="1:5" x14ac:dyDescent="0.35">
      <c r="A15" s="55">
        <v>41671</v>
      </c>
      <c r="B15" s="56">
        <f t="shared" si="0"/>
        <v>2014</v>
      </c>
      <c r="C15" s="56" t="s">
        <v>7</v>
      </c>
      <c r="D15" s="57">
        <v>55</v>
      </c>
      <c r="E15" s="20" t="s">
        <v>56</v>
      </c>
    </row>
    <row r="16" spans="1:5" x14ac:dyDescent="0.35">
      <c r="A16" s="55">
        <v>41671</v>
      </c>
      <c r="B16" s="56">
        <f t="shared" si="0"/>
        <v>2014</v>
      </c>
      <c r="C16" s="56" t="s">
        <v>4</v>
      </c>
      <c r="D16" s="57">
        <v>26</v>
      </c>
      <c r="E16" s="20" t="s">
        <v>55</v>
      </c>
    </row>
    <row r="17" spans="1:5" x14ac:dyDescent="0.35">
      <c r="A17" s="55">
        <v>41671</v>
      </c>
      <c r="B17" s="56">
        <f t="shared" si="0"/>
        <v>2014</v>
      </c>
      <c r="C17" s="56" t="s">
        <v>9</v>
      </c>
      <c r="D17" s="57">
        <v>18</v>
      </c>
      <c r="E17" s="20" t="s">
        <v>56</v>
      </c>
    </row>
    <row r="18" spans="1:5" x14ac:dyDescent="0.35">
      <c r="A18" s="55">
        <v>41671</v>
      </c>
      <c r="B18" s="56">
        <f t="shared" si="0"/>
        <v>2014</v>
      </c>
      <c r="C18" s="56" t="s">
        <v>3</v>
      </c>
      <c r="D18" s="57">
        <v>42</v>
      </c>
      <c r="E18" s="20" t="s">
        <v>55</v>
      </c>
    </row>
    <row r="19" spans="1:5" x14ac:dyDescent="0.35">
      <c r="A19" s="55">
        <v>41671</v>
      </c>
      <c r="B19" s="56">
        <f t="shared" si="0"/>
        <v>2014</v>
      </c>
      <c r="C19" s="56" t="s">
        <v>10</v>
      </c>
      <c r="D19" s="57">
        <v>18</v>
      </c>
      <c r="E19" s="20" t="s">
        <v>56</v>
      </c>
    </row>
    <row r="20" spans="1:5" x14ac:dyDescent="0.35">
      <c r="A20" s="55">
        <v>41671</v>
      </c>
      <c r="B20" s="56">
        <f t="shared" si="0"/>
        <v>2014</v>
      </c>
      <c r="C20" s="56" t="s">
        <v>6</v>
      </c>
      <c r="D20" s="57">
        <v>54</v>
      </c>
      <c r="E20" s="20" t="s">
        <v>55</v>
      </c>
    </row>
    <row r="21" spans="1:5" x14ac:dyDescent="0.35">
      <c r="A21" s="55">
        <v>41671</v>
      </c>
      <c r="B21" s="56">
        <f t="shared" si="0"/>
        <v>2014</v>
      </c>
      <c r="C21" s="56" t="s">
        <v>11</v>
      </c>
      <c r="D21" s="57">
        <v>33</v>
      </c>
      <c r="E21" s="20" t="s">
        <v>56</v>
      </c>
    </row>
    <row r="22" spans="1:5" x14ac:dyDescent="0.35">
      <c r="A22" s="55">
        <v>41671</v>
      </c>
      <c r="B22" s="56">
        <f t="shared" si="0"/>
        <v>2014</v>
      </c>
      <c r="C22" s="56" t="s">
        <v>8</v>
      </c>
      <c r="D22" s="57">
        <v>96.3</v>
      </c>
      <c r="E22" s="20" t="s">
        <v>8</v>
      </c>
    </row>
    <row r="23" spans="1:5" x14ac:dyDescent="0.35">
      <c r="A23" s="55">
        <v>41671</v>
      </c>
      <c r="B23" s="56">
        <f t="shared" si="0"/>
        <v>2014</v>
      </c>
      <c r="C23" s="56" t="s">
        <v>12</v>
      </c>
      <c r="D23" s="57">
        <v>2</v>
      </c>
      <c r="E23" s="20" t="s">
        <v>12</v>
      </c>
    </row>
    <row r="24" spans="1:5" x14ac:dyDescent="0.35">
      <c r="A24" s="55">
        <v>41671</v>
      </c>
      <c r="B24" s="56">
        <f t="shared" si="0"/>
        <v>2014</v>
      </c>
      <c r="C24" s="56" t="s">
        <v>50</v>
      </c>
      <c r="D24" s="57">
        <v>5</v>
      </c>
      <c r="E24" s="20" t="s">
        <v>50</v>
      </c>
    </row>
    <row r="25" spans="1:5" x14ac:dyDescent="0.35">
      <c r="A25" s="55">
        <v>41671</v>
      </c>
      <c r="B25" s="56">
        <f t="shared" si="0"/>
        <v>2014</v>
      </c>
      <c r="C25" s="56" t="s">
        <v>51</v>
      </c>
      <c r="D25" s="58">
        <v>17</v>
      </c>
      <c r="E25" s="56" t="s">
        <v>51</v>
      </c>
    </row>
    <row r="26" spans="1:5" x14ac:dyDescent="0.35">
      <c r="A26" s="55">
        <v>41699</v>
      </c>
      <c r="B26" s="56">
        <f t="shared" si="0"/>
        <v>2014</v>
      </c>
      <c r="C26" s="56" t="s">
        <v>2</v>
      </c>
      <c r="D26" s="57">
        <v>69</v>
      </c>
      <c r="E26" s="20" t="s">
        <v>55</v>
      </c>
    </row>
    <row r="27" spans="1:5" x14ac:dyDescent="0.35">
      <c r="A27" s="55">
        <v>41699</v>
      </c>
      <c r="B27" s="56">
        <f t="shared" si="0"/>
        <v>2014</v>
      </c>
      <c r="C27" s="56" t="s">
        <v>7</v>
      </c>
      <c r="D27" s="57">
        <v>58</v>
      </c>
      <c r="E27" s="20" t="s">
        <v>56</v>
      </c>
    </row>
    <row r="28" spans="1:5" x14ac:dyDescent="0.35">
      <c r="A28" s="55">
        <v>41699</v>
      </c>
      <c r="B28" s="56">
        <f t="shared" si="0"/>
        <v>2014</v>
      </c>
      <c r="C28" s="56" t="s">
        <v>4</v>
      </c>
      <c r="D28" s="57">
        <v>32</v>
      </c>
      <c r="E28" s="20" t="s">
        <v>55</v>
      </c>
    </row>
    <row r="29" spans="1:5" x14ac:dyDescent="0.35">
      <c r="A29" s="55">
        <v>41699</v>
      </c>
      <c r="B29" s="56">
        <f t="shared" si="0"/>
        <v>2014</v>
      </c>
      <c r="C29" s="56" t="s">
        <v>9</v>
      </c>
      <c r="D29" s="57">
        <v>12</v>
      </c>
      <c r="E29" s="20" t="s">
        <v>56</v>
      </c>
    </row>
    <row r="30" spans="1:5" x14ac:dyDescent="0.35">
      <c r="A30" s="55">
        <v>41699</v>
      </c>
      <c r="B30" s="56">
        <f t="shared" si="0"/>
        <v>2014</v>
      </c>
      <c r="C30" s="56" t="s">
        <v>3</v>
      </c>
      <c r="D30" s="57">
        <v>41</v>
      </c>
      <c r="E30" s="20" t="s">
        <v>55</v>
      </c>
    </row>
    <row r="31" spans="1:5" x14ac:dyDescent="0.35">
      <c r="A31" s="55">
        <v>41699</v>
      </c>
      <c r="B31" s="56">
        <f t="shared" si="0"/>
        <v>2014</v>
      </c>
      <c r="C31" s="56" t="s">
        <v>10</v>
      </c>
      <c r="D31" s="57">
        <v>11</v>
      </c>
      <c r="E31" s="20" t="s">
        <v>56</v>
      </c>
    </row>
    <row r="32" spans="1:5" x14ac:dyDescent="0.35">
      <c r="A32" s="55">
        <v>41699</v>
      </c>
      <c r="B32" s="56">
        <f t="shared" si="0"/>
        <v>2014</v>
      </c>
      <c r="C32" s="56" t="s">
        <v>6</v>
      </c>
      <c r="D32" s="57">
        <v>64</v>
      </c>
      <c r="E32" s="20" t="s">
        <v>55</v>
      </c>
    </row>
    <row r="33" spans="1:5" x14ac:dyDescent="0.35">
      <c r="A33" s="55">
        <v>41699</v>
      </c>
      <c r="B33" s="56">
        <f t="shared" si="0"/>
        <v>2014</v>
      </c>
      <c r="C33" s="56" t="s">
        <v>11</v>
      </c>
      <c r="D33" s="57">
        <v>35</v>
      </c>
      <c r="E33" s="20" t="s">
        <v>56</v>
      </c>
    </row>
    <row r="34" spans="1:5" x14ac:dyDescent="0.35">
      <c r="A34" s="55">
        <v>41699</v>
      </c>
      <c r="B34" s="56">
        <f t="shared" si="0"/>
        <v>2014</v>
      </c>
      <c r="C34" s="56" t="s">
        <v>8</v>
      </c>
      <c r="D34" s="57">
        <v>96.6</v>
      </c>
      <c r="E34" s="20" t="s">
        <v>8</v>
      </c>
    </row>
    <row r="35" spans="1:5" x14ac:dyDescent="0.35">
      <c r="A35" s="55">
        <v>41699</v>
      </c>
      <c r="B35" s="56">
        <f t="shared" si="0"/>
        <v>2014</v>
      </c>
      <c r="C35" s="56" t="s">
        <v>12</v>
      </c>
      <c r="D35" s="57">
        <v>3</v>
      </c>
      <c r="E35" s="20" t="s">
        <v>12</v>
      </c>
    </row>
    <row r="36" spans="1:5" x14ac:dyDescent="0.35">
      <c r="A36" s="55">
        <v>41699</v>
      </c>
      <c r="B36" s="56">
        <f t="shared" si="0"/>
        <v>2014</v>
      </c>
      <c r="C36" s="56" t="s">
        <v>50</v>
      </c>
      <c r="D36" s="57">
        <v>5</v>
      </c>
      <c r="E36" s="20" t="s">
        <v>50</v>
      </c>
    </row>
    <row r="37" spans="1:5" x14ac:dyDescent="0.35">
      <c r="A37" s="55">
        <v>41699</v>
      </c>
      <c r="B37" s="56">
        <f t="shared" si="0"/>
        <v>2014</v>
      </c>
      <c r="C37" s="56" t="s">
        <v>51</v>
      </c>
      <c r="D37" s="58">
        <v>17.850000000000001</v>
      </c>
      <c r="E37" s="56" t="s">
        <v>51</v>
      </c>
    </row>
    <row r="38" spans="1:5" x14ac:dyDescent="0.35">
      <c r="A38" s="55">
        <v>41730</v>
      </c>
      <c r="B38" s="56">
        <f t="shared" si="0"/>
        <v>2014</v>
      </c>
      <c r="C38" s="56" t="s">
        <v>2</v>
      </c>
      <c r="D38" s="57">
        <v>68</v>
      </c>
      <c r="E38" s="20" t="s">
        <v>55</v>
      </c>
    </row>
    <row r="39" spans="1:5" x14ac:dyDescent="0.35">
      <c r="A39" s="55">
        <v>41730</v>
      </c>
      <c r="B39" s="56">
        <f t="shared" si="0"/>
        <v>2014</v>
      </c>
      <c r="C39" s="56" t="s">
        <v>7</v>
      </c>
      <c r="D39" s="57">
        <v>50</v>
      </c>
      <c r="E39" s="20" t="s">
        <v>56</v>
      </c>
    </row>
    <row r="40" spans="1:5" x14ac:dyDescent="0.35">
      <c r="A40" s="55">
        <v>41730</v>
      </c>
      <c r="B40" s="56">
        <f t="shared" si="0"/>
        <v>2014</v>
      </c>
      <c r="C40" s="56" t="s">
        <v>4</v>
      </c>
      <c r="D40" s="57">
        <v>29</v>
      </c>
      <c r="E40" s="20" t="s">
        <v>55</v>
      </c>
    </row>
    <row r="41" spans="1:5" x14ac:dyDescent="0.35">
      <c r="A41" s="55">
        <v>41730</v>
      </c>
      <c r="B41" s="56">
        <f t="shared" si="0"/>
        <v>2014</v>
      </c>
      <c r="C41" s="56" t="s">
        <v>9</v>
      </c>
      <c r="D41" s="57">
        <v>19</v>
      </c>
      <c r="E41" s="20" t="s">
        <v>56</v>
      </c>
    </row>
    <row r="42" spans="1:5" x14ac:dyDescent="0.35">
      <c r="A42" s="55">
        <v>41730</v>
      </c>
      <c r="B42" s="56">
        <f t="shared" si="0"/>
        <v>2014</v>
      </c>
      <c r="C42" s="56" t="s">
        <v>3</v>
      </c>
      <c r="D42" s="57">
        <v>38</v>
      </c>
      <c r="E42" s="20" t="s">
        <v>55</v>
      </c>
    </row>
    <row r="43" spans="1:5" x14ac:dyDescent="0.35">
      <c r="A43" s="55">
        <v>41730</v>
      </c>
      <c r="B43" s="56">
        <f t="shared" si="0"/>
        <v>2014</v>
      </c>
      <c r="C43" s="56" t="s">
        <v>10</v>
      </c>
      <c r="D43" s="57">
        <v>15</v>
      </c>
      <c r="E43" s="20" t="s">
        <v>56</v>
      </c>
    </row>
    <row r="44" spans="1:5" x14ac:dyDescent="0.35">
      <c r="A44" s="55">
        <v>41730</v>
      </c>
      <c r="B44" s="56">
        <f t="shared" si="0"/>
        <v>2014</v>
      </c>
      <c r="C44" s="56" t="s">
        <v>6</v>
      </c>
      <c r="D44" s="57">
        <v>60</v>
      </c>
      <c r="E44" s="20" t="s">
        <v>55</v>
      </c>
    </row>
    <row r="45" spans="1:5" x14ac:dyDescent="0.35">
      <c r="A45" s="55">
        <v>41730</v>
      </c>
      <c r="B45" s="56">
        <f t="shared" si="0"/>
        <v>2014</v>
      </c>
      <c r="C45" s="56" t="s">
        <v>11</v>
      </c>
      <c r="D45" s="57">
        <v>32</v>
      </c>
      <c r="E45" s="20" t="s">
        <v>56</v>
      </c>
    </row>
    <row r="46" spans="1:5" x14ac:dyDescent="0.35">
      <c r="A46" s="55">
        <v>41730</v>
      </c>
      <c r="B46" s="56">
        <f t="shared" si="0"/>
        <v>2014</v>
      </c>
      <c r="C46" s="56" t="s">
        <v>8</v>
      </c>
      <c r="D46" s="57">
        <v>99.52</v>
      </c>
      <c r="E46" s="20" t="s">
        <v>8</v>
      </c>
    </row>
    <row r="47" spans="1:5" x14ac:dyDescent="0.35">
      <c r="A47" s="55">
        <v>41730</v>
      </c>
      <c r="B47" s="56">
        <f t="shared" si="0"/>
        <v>2014</v>
      </c>
      <c r="C47" s="56" t="s">
        <v>12</v>
      </c>
      <c r="D47" s="57">
        <v>2</v>
      </c>
      <c r="E47" s="20" t="s">
        <v>12</v>
      </c>
    </row>
    <row r="48" spans="1:5" x14ac:dyDescent="0.35">
      <c r="A48" s="55">
        <v>41730</v>
      </c>
      <c r="B48" s="56">
        <f t="shared" si="0"/>
        <v>2014</v>
      </c>
      <c r="C48" s="56" t="s">
        <v>50</v>
      </c>
      <c r="D48" s="57">
        <v>5</v>
      </c>
      <c r="E48" s="20" t="s">
        <v>50</v>
      </c>
    </row>
    <row r="49" spans="1:5" x14ac:dyDescent="0.35">
      <c r="A49" s="55">
        <v>41730</v>
      </c>
      <c r="B49" s="56">
        <f t="shared" si="0"/>
        <v>2014</v>
      </c>
      <c r="C49" s="56" t="s">
        <v>51</v>
      </c>
      <c r="D49" s="58">
        <v>16.89</v>
      </c>
      <c r="E49" s="56" t="s">
        <v>51</v>
      </c>
    </row>
    <row r="50" spans="1:5" x14ac:dyDescent="0.35">
      <c r="A50" s="55">
        <v>41760</v>
      </c>
      <c r="B50" s="56">
        <f t="shared" si="0"/>
        <v>2014</v>
      </c>
      <c r="C50" s="56" t="s">
        <v>2</v>
      </c>
      <c r="D50" s="57">
        <v>68</v>
      </c>
      <c r="E50" s="20" t="s">
        <v>55</v>
      </c>
    </row>
    <row r="51" spans="1:5" x14ac:dyDescent="0.35">
      <c r="A51" s="55">
        <v>41760</v>
      </c>
      <c r="B51" s="56">
        <f t="shared" si="0"/>
        <v>2014</v>
      </c>
      <c r="C51" s="56" t="s">
        <v>7</v>
      </c>
      <c r="D51" s="57">
        <v>54</v>
      </c>
      <c r="E51" s="20" t="s">
        <v>56</v>
      </c>
    </row>
    <row r="52" spans="1:5" x14ac:dyDescent="0.35">
      <c r="A52" s="55">
        <v>41760</v>
      </c>
      <c r="B52" s="56">
        <f t="shared" si="0"/>
        <v>2014</v>
      </c>
      <c r="C52" s="56" t="s">
        <v>4</v>
      </c>
      <c r="D52" s="57">
        <v>32</v>
      </c>
      <c r="E52" s="20" t="s">
        <v>55</v>
      </c>
    </row>
    <row r="53" spans="1:5" x14ac:dyDescent="0.35">
      <c r="A53" s="55">
        <v>41760</v>
      </c>
      <c r="B53" s="56">
        <f t="shared" si="0"/>
        <v>2014</v>
      </c>
      <c r="C53" s="56" t="s">
        <v>9</v>
      </c>
      <c r="D53" s="57">
        <v>19</v>
      </c>
      <c r="E53" s="20" t="s">
        <v>56</v>
      </c>
    </row>
    <row r="54" spans="1:5" x14ac:dyDescent="0.35">
      <c r="A54" s="55">
        <v>41760</v>
      </c>
      <c r="B54" s="56">
        <f t="shared" si="0"/>
        <v>2014</v>
      </c>
      <c r="C54" s="56" t="s">
        <v>3</v>
      </c>
      <c r="D54" s="57">
        <v>50</v>
      </c>
      <c r="E54" s="20" t="s">
        <v>55</v>
      </c>
    </row>
    <row r="55" spans="1:5" x14ac:dyDescent="0.35">
      <c r="A55" s="55">
        <v>41760</v>
      </c>
      <c r="B55" s="56">
        <f t="shared" si="0"/>
        <v>2014</v>
      </c>
      <c r="C55" s="56" t="s">
        <v>10</v>
      </c>
      <c r="D55" s="57">
        <v>14</v>
      </c>
      <c r="E55" s="20" t="s">
        <v>56</v>
      </c>
    </row>
    <row r="56" spans="1:5" x14ac:dyDescent="0.35">
      <c r="A56" s="55">
        <v>41760</v>
      </c>
      <c r="B56" s="56">
        <f t="shared" si="0"/>
        <v>2014</v>
      </c>
      <c r="C56" s="56" t="s">
        <v>6</v>
      </c>
      <c r="D56" s="57">
        <v>64</v>
      </c>
      <c r="E56" s="20" t="s">
        <v>55</v>
      </c>
    </row>
    <row r="57" spans="1:5" x14ac:dyDescent="0.35">
      <c r="A57" s="55">
        <v>41760</v>
      </c>
      <c r="B57" s="56">
        <f t="shared" si="0"/>
        <v>2014</v>
      </c>
      <c r="C57" s="56" t="s">
        <v>11</v>
      </c>
      <c r="D57" s="57">
        <v>30</v>
      </c>
      <c r="E57" s="20" t="s">
        <v>56</v>
      </c>
    </row>
    <row r="58" spans="1:5" x14ac:dyDescent="0.35">
      <c r="A58" s="55">
        <v>41760</v>
      </c>
      <c r="B58" s="56">
        <f t="shared" si="0"/>
        <v>2014</v>
      </c>
      <c r="C58" s="56" t="s">
        <v>8</v>
      </c>
      <c r="D58" s="57">
        <v>105.92</v>
      </c>
      <c r="E58" s="20" t="s">
        <v>8</v>
      </c>
    </row>
    <row r="59" spans="1:5" x14ac:dyDescent="0.35">
      <c r="A59" s="55">
        <v>41760</v>
      </c>
      <c r="B59" s="56">
        <f t="shared" si="0"/>
        <v>2014</v>
      </c>
      <c r="C59" s="56" t="s">
        <v>12</v>
      </c>
      <c r="D59" s="57">
        <v>3</v>
      </c>
      <c r="E59" s="20" t="s">
        <v>12</v>
      </c>
    </row>
    <row r="60" spans="1:5" x14ac:dyDescent="0.35">
      <c r="A60" s="55">
        <v>41760</v>
      </c>
      <c r="B60" s="56">
        <f t="shared" si="0"/>
        <v>2014</v>
      </c>
      <c r="C60" s="56" t="s">
        <v>50</v>
      </c>
      <c r="D60" s="57">
        <v>5</v>
      </c>
      <c r="E60" s="20" t="s">
        <v>50</v>
      </c>
    </row>
    <row r="61" spans="1:5" x14ac:dyDescent="0.35">
      <c r="A61" s="55">
        <v>41760</v>
      </c>
      <c r="B61" s="56">
        <f t="shared" si="0"/>
        <v>2014</v>
      </c>
      <c r="C61" s="56" t="s">
        <v>51</v>
      </c>
      <c r="D61" s="58">
        <v>18.579999999999998</v>
      </c>
      <c r="E61" s="56" t="s">
        <v>51</v>
      </c>
    </row>
    <row r="62" spans="1:5" x14ac:dyDescent="0.35">
      <c r="A62" s="55">
        <v>41791</v>
      </c>
      <c r="B62" s="56">
        <f t="shared" si="0"/>
        <v>2014</v>
      </c>
      <c r="C62" s="56" t="s">
        <v>2</v>
      </c>
      <c r="D62" s="57">
        <v>56</v>
      </c>
      <c r="E62" s="20" t="s">
        <v>55</v>
      </c>
    </row>
    <row r="63" spans="1:5" x14ac:dyDescent="0.35">
      <c r="A63" s="55">
        <v>41791</v>
      </c>
      <c r="B63" s="56">
        <f t="shared" si="0"/>
        <v>2014</v>
      </c>
      <c r="C63" s="56" t="s">
        <v>7</v>
      </c>
      <c r="D63" s="57">
        <v>49</v>
      </c>
      <c r="E63" s="20" t="s">
        <v>56</v>
      </c>
    </row>
    <row r="64" spans="1:5" x14ac:dyDescent="0.35">
      <c r="A64" s="55">
        <v>41791</v>
      </c>
      <c r="B64" s="56">
        <f t="shared" si="0"/>
        <v>2014</v>
      </c>
      <c r="C64" s="56" t="s">
        <v>4</v>
      </c>
      <c r="D64" s="57">
        <v>31</v>
      </c>
      <c r="E64" s="20" t="s">
        <v>55</v>
      </c>
    </row>
    <row r="65" spans="1:5" x14ac:dyDescent="0.35">
      <c r="A65" s="55">
        <v>41791</v>
      </c>
      <c r="B65" s="56">
        <f t="shared" si="0"/>
        <v>2014</v>
      </c>
      <c r="C65" s="56" t="s">
        <v>9</v>
      </c>
      <c r="D65" s="57">
        <v>14</v>
      </c>
      <c r="E65" s="20" t="s">
        <v>56</v>
      </c>
    </row>
    <row r="66" spans="1:5" x14ac:dyDescent="0.35">
      <c r="A66" s="55">
        <v>41791</v>
      </c>
      <c r="B66" s="56">
        <f t="shared" si="0"/>
        <v>2014</v>
      </c>
      <c r="C66" s="56" t="s">
        <v>3</v>
      </c>
      <c r="D66" s="57">
        <v>36</v>
      </c>
      <c r="E66" s="20" t="s">
        <v>55</v>
      </c>
    </row>
    <row r="67" spans="1:5" x14ac:dyDescent="0.35">
      <c r="A67" s="55">
        <v>41791</v>
      </c>
      <c r="B67" s="56">
        <f t="shared" ref="B67:B130" si="1">YEAR(A67)</f>
        <v>2014</v>
      </c>
      <c r="C67" s="56" t="s">
        <v>10</v>
      </c>
      <c r="D67" s="57">
        <v>15</v>
      </c>
      <c r="E67" s="20" t="s">
        <v>56</v>
      </c>
    </row>
    <row r="68" spans="1:5" x14ac:dyDescent="0.35">
      <c r="A68" s="55">
        <v>41791</v>
      </c>
      <c r="B68" s="56">
        <f t="shared" si="1"/>
        <v>2014</v>
      </c>
      <c r="C68" s="56" t="s">
        <v>6</v>
      </c>
      <c r="D68" s="57">
        <v>57</v>
      </c>
      <c r="E68" s="20" t="s">
        <v>55</v>
      </c>
    </row>
    <row r="69" spans="1:5" x14ac:dyDescent="0.35">
      <c r="A69" s="55">
        <v>41791</v>
      </c>
      <c r="B69" s="56">
        <f t="shared" si="1"/>
        <v>2014</v>
      </c>
      <c r="C69" s="56" t="s">
        <v>11</v>
      </c>
      <c r="D69" s="57">
        <v>33</v>
      </c>
      <c r="E69" s="20" t="s">
        <v>56</v>
      </c>
    </row>
    <row r="70" spans="1:5" x14ac:dyDescent="0.35">
      <c r="A70" s="55">
        <v>41791</v>
      </c>
      <c r="B70" s="56">
        <f t="shared" si="1"/>
        <v>2014</v>
      </c>
      <c r="C70" s="56" t="s">
        <v>8</v>
      </c>
      <c r="D70" s="57">
        <v>93.12</v>
      </c>
      <c r="E70" s="20" t="s">
        <v>8</v>
      </c>
    </row>
    <row r="71" spans="1:5" x14ac:dyDescent="0.35">
      <c r="A71" s="55">
        <v>41791</v>
      </c>
      <c r="B71" s="56">
        <f t="shared" si="1"/>
        <v>2014</v>
      </c>
      <c r="C71" s="56" t="s">
        <v>12</v>
      </c>
      <c r="D71" s="57">
        <v>3</v>
      </c>
      <c r="E71" s="20" t="s">
        <v>12</v>
      </c>
    </row>
    <row r="72" spans="1:5" x14ac:dyDescent="0.35">
      <c r="A72" s="55">
        <v>41791</v>
      </c>
      <c r="B72" s="56">
        <f t="shared" si="1"/>
        <v>2014</v>
      </c>
      <c r="C72" s="56" t="s">
        <v>50</v>
      </c>
      <c r="D72" s="57">
        <v>4</v>
      </c>
      <c r="E72" s="20" t="s">
        <v>50</v>
      </c>
    </row>
    <row r="73" spans="1:5" x14ac:dyDescent="0.35">
      <c r="A73" s="55">
        <v>41791</v>
      </c>
      <c r="B73" s="56">
        <f t="shared" si="1"/>
        <v>2014</v>
      </c>
      <c r="C73" s="56" t="s">
        <v>51</v>
      </c>
      <c r="D73" s="58">
        <v>15.59</v>
      </c>
      <c r="E73" s="56" t="s">
        <v>51</v>
      </c>
    </row>
    <row r="74" spans="1:5" x14ac:dyDescent="0.35">
      <c r="A74" s="55">
        <v>41821</v>
      </c>
      <c r="B74" s="56">
        <f t="shared" si="1"/>
        <v>2014</v>
      </c>
      <c r="C74" s="56" t="s">
        <v>2</v>
      </c>
      <c r="D74" s="57">
        <v>66</v>
      </c>
      <c r="E74" s="20" t="s">
        <v>55</v>
      </c>
    </row>
    <row r="75" spans="1:5" x14ac:dyDescent="0.35">
      <c r="A75" s="55">
        <v>41821</v>
      </c>
      <c r="B75" s="56">
        <f t="shared" si="1"/>
        <v>2014</v>
      </c>
      <c r="C75" s="56" t="s">
        <v>7</v>
      </c>
      <c r="D75" s="57">
        <v>55</v>
      </c>
      <c r="E75" s="20" t="s">
        <v>56</v>
      </c>
    </row>
    <row r="76" spans="1:5" x14ac:dyDescent="0.35">
      <c r="A76" s="55">
        <v>41821</v>
      </c>
      <c r="B76" s="56">
        <f t="shared" si="1"/>
        <v>2014</v>
      </c>
      <c r="C76" s="56" t="s">
        <v>4</v>
      </c>
      <c r="D76" s="57">
        <v>38</v>
      </c>
      <c r="E76" s="20" t="s">
        <v>55</v>
      </c>
    </row>
    <row r="77" spans="1:5" x14ac:dyDescent="0.35">
      <c r="A77" s="55">
        <v>41821</v>
      </c>
      <c r="B77" s="56">
        <f t="shared" si="1"/>
        <v>2014</v>
      </c>
      <c r="C77" s="56" t="s">
        <v>9</v>
      </c>
      <c r="D77" s="57">
        <v>17</v>
      </c>
      <c r="E77" s="20" t="s">
        <v>56</v>
      </c>
    </row>
    <row r="78" spans="1:5" x14ac:dyDescent="0.35">
      <c r="A78" s="55">
        <v>41821</v>
      </c>
      <c r="B78" s="56">
        <f t="shared" si="1"/>
        <v>2014</v>
      </c>
      <c r="C78" s="56" t="s">
        <v>3</v>
      </c>
      <c r="D78" s="57">
        <v>43</v>
      </c>
      <c r="E78" s="20" t="s">
        <v>55</v>
      </c>
    </row>
    <row r="79" spans="1:5" x14ac:dyDescent="0.35">
      <c r="A79" s="55">
        <v>41821</v>
      </c>
      <c r="B79" s="56">
        <f t="shared" si="1"/>
        <v>2014</v>
      </c>
      <c r="C79" s="56" t="s">
        <v>10</v>
      </c>
      <c r="D79" s="57">
        <v>17</v>
      </c>
      <c r="E79" s="20" t="s">
        <v>56</v>
      </c>
    </row>
    <row r="80" spans="1:5" x14ac:dyDescent="0.35">
      <c r="A80" s="55">
        <v>41821</v>
      </c>
      <c r="B80" s="56">
        <f t="shared" si="1"/>
        <v>2014</v>
      </c>
      <c r="C80" s="56" t="s">
        <v>6</v>
      </c>
      <c r="D80" s="57">
        <v>68</v>
      </c>
      <c r="E80" s="20" t="s">
        <v>55</v>
      </c>
    </row>
    <row r="81" spans="1:5" x14ac:dyDescent="0.35">
      <c r="A81" s="55">
        <v>41821</v>
      </c>
      <c r="B81" s="56">
        <f t="shared" si="1"/>
        <v>2014</v>
      </c>
      <c r="C81" s="56" t="s">
        <v>11</v>
      </c>
      <c r="D81" s="57">
        <v>33</v>
      </c>
      <c r="E81" s="20" t="s">
        <v>56</v>
      </c>
    </row>
    <row r="82" spans="1:5" x14ac:dyDescent="0.35">
      <c r="A82" s="55">
        <v>41821</v>
      </c>
      <c r="B82" s="56">
        <f t="shared" si="1"/>
        <v>2014</v>
      </c>
      <c r="C82" s="56" t="s">
        <v>8</v>
      </c>
      <c r="D82" s="57">
        <v>114.58000000000001</v>
      </c>
      <c r="E82" s="20" t="s">
        <v>8</v>
      </c>
    </row>
    <row r="83" spans="1:5" x14ac:dyDescent="0.35">
      <c r="A83" s="55">
        <v>41821</v>
      </c>
      <c r="B83" s="56">
        <f t="shared" si="1"/>
        <v>2014</v>
      </c>
      <c r="C83" s="56" t="s">
        <v>12</v>
      </c>
      <c r="D83" s="57">
        <v>3</v>
      </c>
      <c r="E83" s="20" t="s">
        <v>12</v>
      </c>
    </row>
    <row r="84" spans="1:5" x14ac:dyDescent="0.35">
      <c r="A84" s="55">
        <v>41821</v>
      </c>
      <c r="B84" s="56">
        <f t="shared" si="1"/>
        <v>2014</v>
      </c>
      <c r="C84" s="56" t="s">
        <v>50</v>
      </c>
      <c r="D84" s="57">
        <v>4</v>
      </c>
      <c r="E84" s="20" t="s">
        <v>50</v>
      </c>
    </row>
    <row r="85" spans="1:5" x14ac:dyDescent="0.35">
      <c r="A85" s="55">
        <v>41821</v>
      </c>
      <c r="B85" s="56">
        <f t="shared" si="1"/>
        <v>2014</v>
      </c>
      <c r="C85" s="56" t="s">
        <v>51</v>
      </c>
      <c r="D85" s="58">
        <v>18.61</v>
      </c>
      <c r="E85" s="56" t="s">
        <v>51</v>
      </c>
    </row>
    <row r="86" spans="1:5" x14ac:dyDescent="0.35">
      <c r="A86" s="55">
        <v>41852</v>
      </c>
      <c r="B86" s="56">
        <f t="shared" si="1"/>
        <v>2014</v>
      </c>
      <c r="C86" s="56" t="s">
        <v>2</v>
      </c>
      <c r="D86" s="57">
        <v>57</v>
      </c>
      <c r="E86" s="20" t="s">
        <v>55</v>
      </c>
    </row>
    <row r="87" spans="1:5" x14ac:dyDescent="0.35">
      <c r="A87" s="55">
        <v>41852</v>
      </c>
      <c r="B87" s="56">
        <f t="shared" si="1"/>
        <v>2014</v>
      </c>
      <c r="C87" s="56" t="s">
        <v>7</v>
      </c>
      <c r="D87" s="57">
        <v>52</v>
      </c>
      <c r="E87" s="20" t="s">
        <v>56</v>
      </c>
    </row>
    <row r="88" spans="1:5" x14ac:dyDescent="0.35">
      <c r="A88" s="55">
        <v>41852</v>
      </c>
      <c r="B88" s="56">
        <f t="shared" si="1"/>
        <v>2014</v>
      </c>
      <c r="C88" s="56" t="s">
        <v>4</v>
      </c>
      <c r="D88" s="57">
        <v>35</v>
      </c>
      <c r="E88" s="20" t="s">
        <v>55</v>
      </c>
    </row>
    <row r="89" spans="1:5" x14ac:dyDescent="0.35">
      <c r="A89" s="55">
        <v>41852</v>
      </c>
      <c r="B89" s="56">
        <f t="shared" si="1"/>
        <v>2014</v>
      </c>
      <c r="C89" s="56" t="s">
        <v>9</v>
      </c>
      <c r="D89" s="57">
        <v>19</v>
      </c>
      <c r="E89" s="20" t="s">
        <v>56</v>
      </c>
    </row>
    <row r="90" spans="1:5" x14ac:dyDescent="0.35">
      <c r="A90" s="55">
        <v>41852</v>
      </c>
      <c r="B90" s="56">
        <f t="shared" si="1"/>
        <v>2014</v>
      </c>
      <c r="C90" s="56" t="s">
        <v>3</v>
      </c>
      <c r="D90" s="57">
        <v>38</v>
      </c>
      <c r="E90" s="20" t="s">
        <v>55</v>
      </c>
    </row>
    <row r="91" spans="1:5" x14ac:dyDescent="0.35">
      <c r="A91" s="55">
        <v>41852</v>
      </c>
      <c r="B91" s="56">
        <f t="shared" si="1"/>
        <v>2014</v>
      </c>
      <c r="C91" s="56" t="s">
        <v>10</v>
      </c>
      <c r="D91" s="57">
        <v>16</v>
      </c>
      <c r="E91" s="20" t="s">
        <v>56</v>
      </c>
    </row>
    <row r="92" spans="1:5" x14ac:dyDescent="0.35">
      <c r="A92" s="55">
        <v>41852</v>
      </c>
      <c r="B92" s="56">
        <f t="shared" si="1"/>
        <v>2014</v>
      </c>
      <c r="C92" s="56" t="s">
        <v>6</v>
      </c>
      <c r="D92" s="57">
        <v>57</v>
      </c>
      <c r="E92" s="20" t="s">
        <v>55</v>
      </c>
    </row>
    <row r="93" spans="1:5" x14ac:dyDescent="0.35">
      <c r="A93" s="55">
        <v>41852</v>
      </c>
      <c r="B93" s="56">
        <f t="shared" si="1"/>
        <v>2014</v>
      </c>
      <c r="C93" s="56" t="s">
        <v>11</v>
      </c>
      <c r="D93" s="57">
        <v>33</v>
      </c>
      <c r="E93" s="20" t="s">
        <v>56</v>
      </c>
    </row>
    <row r="94" spans="1:5" x14ac:dyDescent="0.35">
      <c r="A94" s="55">
        <v>41852</v>
      </c>
      <c r="B94" s="56">
        <f t="shared" si="1"/>
        <v>2014</v>
      </c>
      <c r="C94" s="56" t="s">
        <v>8</v>
      </c>
      <c r="D94" s="57">
        <v>104.38000000000001</v>
      </c>
      <c r="E94" s="20" t="s">
        <v>8</v>
      </c>
    </row>
    <row r="95" spans="1:5" x14ac:dyDescent="0.35">
      <c r="A95" s="55">
        <v>41852</v>
      </c>
      <c r="B95" s="56">
        <f t="shared" si="1"/>
        <v>2014</v>
      </c>
      <c r="C95" s="56" t="s">
        <v>12</v>
      </c>
      <c r="D95" s="57">
        <v>3</v>
      </c>
      <c r="E95" s="20" t="s">
        <v>12</v>
      </c>
    </row>
    <row r="96" spans="1:5" x14ac:dyDescent="0.35">
      <c r="A96" s="55">
        <v>41852</v>
      </c>
      <c r="B96" s="56">
        <f t="shared" si="1"/>
        <v>2014</v>
      </c>
      <c r="C96" s="56" t="s">
        <v>50</v>
      </c>
      <c r="D96" s="57">
        <v>5</v>
      </c>
      <c r="E96" s="20" t="s">
        <v>50</v>
      </c>
    </row>
    <row r="97" spans="1:5" x14ac:dyDescent="0.35">
      <c r="A97" s="55">
        <v>41852</v>
      </c>
      <c r="B97" s="56">
        <f t="shared" si="1"/>
        <v>2014</v>
      </c>
      <c r="C97" s="56" t="s">
        <v>51</v>
      </c>
      <c r="D97" s="58">
        <v>16.13</v>
      </c>
      <c r="E97" s="56" t="s">
        <v>51</v>
      </c>
    </row>
    <row r="98" spans="1:5" x14ac:dyDescent="0.35">
      <c r="A98" s="55">
        <v>41883</v>
      </c>
      <c r="B98" s="56">
        <f t="shared" si="1"/>
        <v>2014</v>
      </c>
      <c r="C98" s="56" t="s">
        <v>2</v>
      </c>
      <c r="D98" s="57">
        <v>60</v>
      </c>
      <c r="E98" s="20" t="s">
        <v>55</v>
      </c>
    </row>
    <row r="99" spans="1:5" x14ac:dyDescent="0.35">
      <c r="A99" s="55">
        <v>41883</v>
      </c>
      <c r="B99" s="56">
        <f t="shared" si="1"/>
        <v>2014</v>
      </c>
      <c r="C99" s="56" t="s">
        <v>7</v>
      </c>
      <c r="D99" s="57">
        <v>57</v>
      </c>
      <c r="E99" s="20" t="s">
        <v>56</v>
      </c>
    </row>
    <row r="100" spans="1:5" x14ac:dyDescent="0.35">
      <c r="A100" s="55">
        <v>41883</v>
      </c>
      <c r="B100" s="56">
        <f t="shared" si="1"/>
        <v>2014</v>
      </c>
      <c r="C100" s="56" t="s">
        <v>4</v>
      </c>
      <c r="D100" s="57">
        <v>28</v>
      </c>
      <c r="E100" s="20" t="s">
        <v>55</v>
      </c>
    </row>
    <row r="101" spans="1:5" x14ac:dyDescent="0.35">
      <c r="A101" s="55">
        <v>41883</v>
      </c>
      <c r="B101" s="56">
        <f t="shared" si="1"/>
        <v>2014</v>
      </c>
      <c r="C101" s="56" t="s">
        <v>9</v>
      </c>
      <c r="D101" s="57">
        <v>11</v>
      </c>
      <c r="E101" s="20" t="s">
        <v>56</v>
      </c>
    </row>
    <row r="102" spans="1:5" x14ac:dyDescent="0.35">
      <c r="A102" s="55">
        <v>41883</v>
      </c>
      <c r="B102" s="56">
        <f t="shared" si="1"/>
        <v>2014</v>
      </c>
      <c r="C102" s="56" t="s">
        <v>3</v>
      </c>
      <c r="D102" s="57">
        <v>44</v>
      </c>
      <c r="E102" s="20" t="s">
        <v>55</v>
      </c>
    </row>
    <row r="103" spans="1:5" x14ac:dyDescent="0.35">
      <c r="A103" s="55">
        <v>41883</v>
      </c>
      <c r="B103" s="56">
        <f t="shared" si="1"/>
        <v>2014</v>
      </c>
      <c r="C103" s="56" t="s">
        <v>10</v>
      </c>
      <c r="D103" s="57">
        <v>12</v>
      </c>
      <c r="E103" s="20" t="s">
        <v>56</v>
      </c>
    </row>
    <row r="104" spans="1:5" x14ac:dyDescent="0.35">
      <c r="A104" s="55">
        <v>41883</v>
      </c>
      <c r="B104" s="56">
        <f t="shared" si="1"/>
        <v>2014</v>
      </c>
      <c r="C104" s="56" t="s">
        <v>6</v>
      </c>
      <c r="D104" s="57">
        <v>67</v>
      </c>
      <c r="E104" s="20" t="s">
        <v>55</v>
      </c>
    </row>
    <row r="105" spans="1:5" x14ac:dyDescent="0.35">
      <c r="A105" s="55">
        <v>41883</v>
      </c>
      <c r="B105" s="56">
        <f t="shared" si="1"/>
        <v>2014</v>
      </c>
      <c r="C105" s="56" t="s">
        <v>11</v>
      </c>
      <c r="D105" s="57">
        <v>31</v>
      </c>
      <c r="E105" s="20" t="s">
        <v>56</v>
      </c>
    </row>
    <row r="106" spans="1:5" x14ac:dyDescent="0.35">
      <c r="A106" s="55">
        <v>41883</v>
      </c>
      <c r="B106" s="56">
        <f t="shared" si="1"/>
        <v>2014</v>
      </c>
      <c r="C106" s="56" t="s">
        <v>8</v>
      </c>
      <c r="D106" s="57">
        <v>108.5</v>
      </c>
      <c r="E106" s="20" t="s">
        <v>8</v>
      </c>
    </row>
    <row r="107" spans="1:5" x14ac:dyDescent="0.35">
      <c r="A107" s="55">
        <v>41883</v>
      </c>
      <c r="B107" s="56">
        <f t="shared" si="1"/>
        <v>2014</v>
      </c>
      <c r="C107" s="56" t="s">
        <v>12</v>
      </c>
      <c r="D107" s="57">
        <v>2</v>
      </c>
      <c r="E107" s="20" t="s">
        <v>12</v>
      </c>
    </row>
    <row r="108" spans="1:5" x14ac:dyDescent="0.35">
      <c r="A108" s="55">
        <v>41883</v>
      </c>
      <c r="B108" s="56">
        <f t="shared" si="1"/>
        <v>2014</v>
      </c>
      <c r="C108" s="56" t="s">
        <v>50</v>
      </c>
      <c r="D108" s="57">
        <v>4</v>
      </c>
      <c r="E108" s="20" t="s">
        <v>50</v>
      </c>
    </row>
    <row r="109" spans="1:5" x14ac:dyDescent="0.35">
      <c r="A109" s="55">
        <v>41883</v>
      </c>
      <c r="B109" s="56">
        <f t="shared" si="1"/>
        <v>2014</v>
      </c>
      <c r="C109" s="56" t="s">
        <v>51</v>
      </c>
      <c r="D109" s="58">
        <v>17.419999999999998</v>
      </c>
      <c r="E109" s="56" t="s">
        <v>51</v>
      </c>
    </row>
    <row r="110" spans="1:5" x14ac:dyDescent="0.35">
      <c r="A110" s="55">
        <v>41913</v>
      </c>
      <c r="B110" s="56">
        <f t="shared" si="1"/>
        <v>2014</v>
      </c>
      <c r="C110" s="56" t="s">
        <v>2</v>
      </c>
      <c r="D110" s="57">
        <v>59</v>
      </c>
      <c r="E110" s="20" t="s">
        <v>55</v>
      </c>
    </row>
    <row r="111" spans="1:5" x14ac:dyDescent="0.35">
      <c r="A111" s="55">
        <v>41913</v>
      </c>
      <c r="B111" s="56">
        <f t="shared" si="1"/>
        <v>2014</v>
      </c>
      <c r="C111" s="56" t="s">
        <v>7</v>
      </c>
      <c r="D111" s="57">
        <v>57</v>
      </c>
      <c r="E111" s="20" t="s">
        <v>56</v>
      </c>
    </row>
    <row r="112" spans="1:5" x14ac:dyDescent="0.35">
      <c r="A112" s="55">
        <v>41913</v>
      </c>
      <c r="B112" s="56">
        <f t="shared" si="1"/>
        <v>2014</v>
      </c>
      <c r="C112" s="56" t="s">
        <v>4</v>
      </c>
      <c r="D112" s="57">
        <v>40</v>
      </c>
      <c r="E112" s="20" t="s">
        <v>55</v>
      </c>
    </row>
    <row r="113" spans="1:5" x14ac:dyDescent="0.35">
      <c r="A113" s="55">
        <v>41913</v>
      </c>
      <c r="B113" s="56">
        <f t="shared" si="1"/>
        <v>2014</v>
      </c>
      <c r="C113" s="56" t="s">
        <v>9</v>
      </c>
      <c r="D113" s="57">
        <v>11</v>
      </c>
      <c r="E113" s="20" t="s">
        <v>56</v>
      </c>
    </row>
    <row r="114" spans="1:5" x14ac:dyDescent="0.35">
      <c r="A114" s="55">
        <v>41913</v>
      </c>
      <c r="B114" s="56">
        <f t="shared" si="1"/>
        <v>2014</v>
      </c>
      <c r="C114" s="56" t="s">
        <v>3</v>
      </c>
      <c r="D114" s="57">
        <v>35</v>
      </c>
      <c r="E114" s="20" t="s">
        <v>55</v>
      </c>
    </row>
    <row r="115" spans="1:5" x14ac:dyDescent="0.35">
      <c r="A115" s="55">
        <v>41913</v>
      </c>
      <c r="B115" s="56">
        <f t="shared" si="1"/>
        <v>2014</v>
      </c>
      <c r="C115" s="56" t="s">
        <v>10</v>
      </c>
      <c r="D115" s="57">
        <v>15</v>
      </c>
      <c r="E115" s="20" t="s">
        <v>56</v>
      </c>
    </row>
    <row r="116" spans="1:5" x14ac:dyDescent="0.35">
      <c r="A116" s="55">
        <v>41913</v>
      </c>
      <c r="B116" s="56">
        <f t="shared" si="1"/>
        <v>2014</v>
      </c>
      <c r="C116" s="56" t="s">
        <v>6</v>
      </c>
      <c r="D116" s="57">
        <v>61</v>
      </c>
      <c r="E116" s="20" t="s">
        <v>55</v>
      </c>
    </row>
    <row r="117" spans="1:5" x14ac:dyDescent="0.35">
      <c r="A117" s="55">
        <v>41913</v>
      </c>
      <c r="B117" s="56">
        <f t="shared" si="1"/>
        <v>2014</v>
      </c>
      <c r="C117" s="56" t="s">
        <v>11</v>
      </c>
      <c r="D117" s="57">
        <v>35</v>
      </c>
      <c r="E117" s="20" t="s">
        <v>56</v>
      </c>
    </row>
    <row r="118" spans="1:5" x14ac:dyDescent="0.35">
      <c r="A118" s="55">
        <v>41913</v>
      </c>
      <c r="B118" s="56">
        <f t="shared" si="1"/>
        <v>2014</v>
      </c>
      <c r="C118" s="56" t="s">
        <v>8</v>
      </c>
      <c r="D118" s="57">
        <v>97.03</v>
      </c>
      <c r="E118" s="20" t="s">
        <v>8</v>
      </c>
    </row>
    <row r="119" spans="1:5" x14ac:dyDescent="0.35">
      <c r="A119" s="55">
        <v>41913</v>
      </c>
      <c r="B119" s="56">
        <f t="shared" si="1"/>
        <v>2014</v>
      </c>
      <c r="C119" s="56" t="s">
        <v>12</v>
      </c>
      <c r="D119" s="57">
        <v>3</v>
      </c>
      <c r="E119" s="20" t="s">
        <v>12</v>
      </c>
    </row>
    <row r="120" spans="1:5" x14ac:dyDescent="0.35">
      <c r="A120" s="55">
        <v>41913</v>
      </c>
      <c r="B120" s="56">
        <f t="shared" si="1"/>
        <v>2014</v>
      </c>
      <c r="C120" s="56" t="s">
        <v>50</v>
      </c>
      <c r="D120" s="57">
        <v>4</v>
      </c>
      <c r="E120" s="20" t="s">
        <v>50</v>
      </c>
    </row>
    <row r="121" spans="1:5" x14ac:dyDescent="0.35">
      <c r="A121" s="55">
        <v>41913</v>
      </c>
      <c r="B121" s="56">
        <f t="shared" si="1"/>
        <v>2014</v>
      </c>
      <c r="C121" s="56" t="s">
        <v>51</v>
      </c>
      <c r="D121" s="58">
        <v>16.77</v>
      </c>
      <c r="E121" s="56" t="s">
        <v>51</v>
      </c>
    </row>
    <row r="122" spans="1:5" x14ac:dyDescent="0.35">
      <c r="A122" s="55">
        <v>41944</v>
      </c>
      <c r="B122" s="56">
        <f t="shared" si="1"/>
        <v>2014</v>
      </c>
      <c r="C122" s="56" t="s">
        <v>2</v>
      </c>
      <c r="D122" s="57">
        <v>69</v>
      </c>
      <c r="E122" s="20" t="s">
        <v>55</v>
      </c>
    </row>
    <row r="123" spans="1:5" x14ac:dyDescent="0.35">
      <c r="A123" s="55">
        <v>41944</v>
      </c>
      <c r="B123" s="56">
        <f t="shared" si="1"/>
        <v>2014</v>
      </c>
      <c r="C123" s="56" t="s">
        <v>7</v>
      </c>
      <c r="D123" s="57">
        <v>45</v>
      </c>
      <c r="E123" s="20" t="s">
        <v>56</v>
      </c>
    </row>
    <row r="124" spans="1:5" x14ac:dyDescent="0.35">
      <c r="A124" s="55">
        <v>41944</v>
      </c>
      <c r="B124" s="56">
        <f t="shared" si="1"/>
        <v>2014</v>
      </c>
      <c r="C124" s="56" t="s">
        <v>4</v>
      </c>
      <c r="D124" s="57">
        <v>25</v>
      </c>
      <c r="E124" s="20" t="s">
        <v>55</v>
      </c>
    </row>
    <row r="125" spans="1:5" x14ac:dyDescent="0.35">
      <c r="A125" s="55">
        <v>41944</v>
      </c>
      <c r="B125" s="56">
        <f t="shared" si="1"/>
        <v>2014</v>
      </c>
      <c r="C125" s="56" t="s">
        <v>9</v>
      </c>
      <c r="D125" s="57">
        <v>17</v>
      </c>
      <c r="E125" s="20" t="s">
        <v>56</v>
      </c>
    </row>
    <row r="126" spans="1:5" x14ac:dyDescent="0.35">
      <c r="A126" s="55">
        <v>41944</v>
      </c>
      <c r="B126" s="56">
        <f t="shared" si="1"/>
        <v>2014</v>
      </c>
      <c r="C126" s="56" t="s">
        <v>3</v>
      </c>
      <c r="D126" s="57">
        <v>45</v>
      </c>
      <c r="E126" s="20" t="s">
        <v>55</v>
      </c>
    </row>
    <row r="127" spans="1:5" x14ac:dyDescent="0.35">
      <c r="A127" s="55">
        <v>41944</v>
      </c>
      <c r="B127" s="56">
        <f t="shared" si="1"/>
        <v>2014</v>
      </c>
      <c r="C127" s="56" t="s">
        <v>10</v>
      </c>
      <c r="D127" s="57">
        <v>10</v>
      </c>
      <c r="E127" s="20" t="s">
        <v>56</v>
      </c>
    </row>
    <row r="128" spans="1:5" x14ac:dyDescent="0.35">
      <c r="A128" s="55">
        <v>41944</v>
      </c>
      <c r="B128" s="56">
        <f t="shared" si="1"/>
        <v>2014</v>
      </c>
      <c r="C128" s="56" t="s">
        <v>6</v>
      </c>
      <c r="D128" s="57">
        <v>63</v>
      </c>
      <c r="E128" s="20" t="s">
        <v>55</v>
      </c>
    </row>
    <row r="129" spans="1:5" x14ac:dyDescent="0.35">
      <c r="A129" s="55">
        <v>41944</v>
      </c>
      <c r="B129" s="56">
        <f t="shared" si="1"/>
        <v>2014</v>
      </c>
      <c r="C129" s="56" t="s">
        <v>11</v>
      </c>
      <c r="D129" s="57">
        <v>31</v>
      </c>
      <c r="E129" s="20" t="s">
        <v>56</v>
      </c>
    </row>
    <row r="130" spans="1:5" x14ac:dyDescent="0.35">
      <c r="A130" s="55">
        <v>41944</v>
      </c>
      <c r="B130" s="56">
        <f t="shared" si="1"/>
        <v>2014</v>
      </c>
      <c r="C130" s="56" t="s">
        <v>8</v>
      </c>
      <c r="D130" s="57">
        <v>97.600000000000009</v>
      </c>
      <c r="E130" s="20" t="s">
        <v>8</v>
      </c>
    </row>
    <row r="131" spans="1:5" x14ac:dyDescent="0.35">
      <c r="A131" s="55">
        <v>41944</v>
      </c>
      <c r="B131" s="56">
        <f t="shared" ref="B131:B194" si="2">YEAR(A131)</f>
        <v>2014</v>
      </c>
      <c r="C131" s="56" t="s">
        <v>12</v>
      </c>
      <c r="D131" s="57">
        <v>2</v>
      </c>
      <c r="E131" s="20" t="s">
        <v>12</v>
      </c>
    </row>
    <row r="132" spans="1:5" x14ac:dyDescent="0.35">
      <c r="A132" s="55">
        <v>41944</v>
      </c>
      <c r="B132" s="56">
        <f t="shared" si="2"/>
        <v>2014</v>
      </c>
      <c r="C132" s="56" t="s">
        <v>50</v>
      </c>
      <c r="D132" s="57">
        <v>5</v>
      </c>
      <c r="E132" s="20" t="s">
        <v>50</v>
      </c>
    </row>
    <row r="133" spans="1:5" x14ac:dyDescent="0.35">
      <c r="A133" s="55">
        <v>41944</v>
      </c>
      <c r="B133" s="56">
        <f t="shared" si="2"/>
        <v>2014</v>
      </c>
      <c r="C133" s="56" t="s">
        <v>51</v>
      </c>
      <c r="D133" s="58">
        <v>17.62</v>
      </c>
      <c r="E133" s="56" t="s">
        <v>51</v>
      </c>
    </row>
    <row r="134" spans="1:5" x14ac:dyDescent="0.35">
      <c r="A134" s="55">
        <v>41974</v>
      </c>
      <c r="B134" s="56">
        <f t="shared" si="2"/>
        <v>2014</v>
      </c>
      <c r="C134" s="56" t="s">
        <v>2</v>
      </c>
      <c r="D134" s="57">
        <v>74</v>
      </c>
      <c r="E134" s="20" t="s">
        <v>55</v>
      </c>
    </row>
    <row r="135" spans="1:5" x14ac:dyDescent="0.35">
      <c r="A135" s="55">
        <v>41974</v>
      </c>
      <c r="B135" s="56">
        <f t="shared" si="2"/>
        <v>2014</v>
      </c>
      <c r="C135" s="56" t="s">
        <v>7</v>
      </c>
      <c r="D135" s="57">
        <v>55</v>
      </c>
      <c r="E135" s="20" t="s">
        <v>56</v>
      </c>
    </row>
    <row r="136" spans="1:5" x14ac:dyDescent="0.35">
      <c r="A136" s="55">
        <v>41974</v>
      </c>
      <c r="B136" s="56">
        <f t="shared" si="2"/>
        <v>2014</v>
      </c>
      <c r="C136" s="56" t="s">
        <v>4</v>
      </c>
      <c r="D136" s="57">
        <v>31</v>
      </c>
      <c r="E136" s="20" t="s">
        <v>55</v>
      </c>
    </row>
    <row r="137" spans="1:5" x14ac:dyDescent="0.35">
      <c r="A137" s="55">
        <v>41974</v>
      </c>
      <c r="B137" s="56">
        <f t="shared" si="2"/>
        <v>2014</v>
      </c>
      <c r="C137" s="56" t="s">
        <v>9</v>
      </c>
      <c r="D137" s="57">
        <v>19</v>
      </c>
      <c r="E137" s="20" t="s">
        <v>56</v>
      </c>
    </row>
    <row r="138" spans="1:5" x14ac:dyDescent="0.35">
      <c r="A138" s="55">
        <v>41974</v>
      </c>
      <c r="B138" s="56">
        <f t="shared" si="2"/>
        <v>2014</v>
      </c>
      <c r="C138" s="56" t="s">
        <v>3</v>
      </c>
      <c r="D138" s="57">
        <v>42</v>
      </c>
      <c r="E138" s="20" t="s">
        <v>55</v>
      </c>
    </row>
    <row r="139" spans="1:5" x14ac:dyDescent="0.35">
      <c r="A139" s="55">
        <v>41974</v>
      </c>
      <c r="B139" s="56">
        <f t="shared" si="2"/>
        <v>2014</v>
      </c>
      <c r="C139" s="56" t="s">
        <v>10</v>
      </c>
      <c r="D139" s="57">
        <v>19</v>
      </c>
      <c r="E139" s="20" t="s">
        <v>56</v>
      </c>
    </row>
    <row r="140" spans="1:5" x14ac:dyDescent="0.35">
      <c r="A140" s="55">
        <v>41974</v>
      </c>
      <c r="B140" s="56">
        <f t="shared" si="2"/>
        <v>2014</v>
      </c>
      <c r="C140" s="56" t="s">
        <v>6</v>
      </c>
      <c r="D140" s="57">
        <v>59</v>
      </c>
      <c r="E140" s="20" t="s">
        <v>55</v>
      </c>
    </row>
    <row r="141" spans="1:5" x14ac:dyDescent="0.35">
      <c r="A141" s="55">
        <v>41974</v>
      </c>
      <c r="B141" s="56">
        <f t="shared" si="2"/>
        <v>2014</v>
      </c>
      <c r="C141" s="56" t="s">
        <v>11</v>
      </c>
      <c r="D141" s="57">
        <v>34</v>
      </c>
      <c r="E141" s="20" t="s">
        <v>56</v>
      </c>
    </row>
    <row r="142" spans="1:5" x14ac:dyDescent="0.35">
      <c r="A142" s="55">
        <v>41974</v>
      </c>
      <c r="B142" s="56">
        <f t="shared" si="2"/>
        <v>2014</v>
      </c>
      <c r="C142" s="56" t="s">
        <v>8</v>
      </c>
      <c r="D142" s="57">
        <v>103.23</v>
      </c>
      <c r="E142" s="20" t="s">
        <v>8</v>
      </c>
    </row>
    <row r="143" spans="1:5" x14ac:dyDescent="0.35">
      <c r="A143" s="55">
        <v>41974</v>
      </c>
      <c r="B143" s="56">
        <f t="shared" si="2"/>
        <v>2014</v>
      </c>
      <c r="C143" s="56" t="s">
        <v>12</v>
      </c>
      <c r="D143" s="57">
        <v>3</v>
      </c>
      <c r="E143" s="20" t="s">
        <v>12</v>
      </c>
    </row>
    <row r="144" spans="1:5" x14ac:dyDescent="0.35">
      <c r="A144" s="55">
        <v>41974</v>
      </c>
      <c r="B144" s="56">
        <f t="shared" si="2"/>
        <v>2014</v>
      </c>
      <c r="C144" s="56" t="s">
        <v>50</v>
      </c>
      <c r="D144" s="57">
        <v>5</v>
      </c>
      <c r="E144" s="20" t="s">
        <v>50</v>
      </c>
    </row>
    <row r="145" spans="1:5" x14ac:dyDescent="0.35">
      <c r="A145" s="55">
        <v>41974</v>
      </c>
      <c r="B145" s="56">
        <f t="shared" si="2"/>
        <v>2014</v>
      </c>
      <c r="C145" s="56" t="s">
        <v>51</v>
      </c>
      <c r="D145" s="58">
        <v>17.77</v>
      </c>
      <c r="E145" s="56" t="s">
        <v>51</v>
      </c>
    </row>
    <row r="146" spans="1:5" x14ac:dyDescent="0.35">
      <c r="A146" s="55">
        <v>42005</v>
      </c>
      <c r="B146" s="56">
        <f t="shared" si="2"/>
        <v>2015</v>
      </c>
      <c r="C146" s="56" t="s">
        <v>2</v>
      </c>
      <c r="D146" s="57">
        <v>56</v>
      </c>
      <c r="E146" s="20" t="s">
        <v>55</v>
      </c>
    </row>
    <row r="147" spans="1:5" x14ac:dyDescent="0.35">
      <c r="A147" s="55">
        <v>42005</v>
      </c>
      <c r="B147" s="56">
        <f t="shared" si="2"/>
        <v>2015</v>
      </c>
      <c r="C147" s="56" t="s">
        <v>7</v>
      </c>
      <c r="D147" s="57">
        <v>49</v>
      </c>
      <c r="E147" s="20" t="s">
        <v>56</v>
      </c>
    </row>
    <row r="148" spans="1:5" x14ac:dyDescent="0.35">
      <c r="A148" s="55">
        <v>42005</v>
      </c>
      <c r="B148" s="56">
        <f t="shared" si="2"/>
        <v>2015</v>
      </c>
      <c r="C148" s="56" t="s">
        <v>4</v>
      </c>
      <c r="D148" s="57">
        <v>38</v>
      </c>
      <c r="E148" s="20" t="s">
        <v>55</v>
      </c>
    </row>
    <row r="149" spans="1:5" x14ac:dyDescent="0.35">
      <c r="A149" s="55">
        <v>42005</v>
      </c>
      <c r="B149" s="56">
        <f t="shared" si="2"/>
        <v>2015</v>
      </c>
      <c r="C149" s="56" t="s">
        <v>9</v>
      </c>
      <c r="D149" s="57">
        <v>13</v>
      </c>
      <c r="E149" s="20" t="s">
        <v>56</v>
      </c>
    </row>
    <row r="150" spans="1:5" x14ac:dyDescent="0.35">
      <c r="A150" s="55">
        <v>42005</v>
      </c>
      <c r="B150" s="56">
        <f t="shared" si="2"/>
        <v>2015</v>
      </c>
      <c r="C150" s="56" t="s">
        <v>3</v>
      </c>
      <c r="D150" s="57">
        <v>49</v>
      </c>
      <c r="E150" s="20" t="s">
        <v>55</v>
      </c>
    </row>
    <row r="151" spans="1:5" x14ac:dyDescent="0.35">
      <c r="A151" s="55">
        <v>42005</v>
      </c>
      <c r="B151" s="56">
        <f t="shared" si="2"/>
        <v>2015</v>
      </c>
      <c r="C151" s="56" t="s">
        <v>10</v>
      </c>
      <c r="D151" s="57">
        <v>13</v>
      </c>
      <c r="E151" s="20" t="s">
        <v>56</v>
      </c>
    </row>
    <row r="152" spans="1:5" x14ac:dyDescent="0.35">
      <c r="A152" s="55">
        <v>42005</v>
      </c>
      <c r="B152" s="56">
        <f t="shared" si="2"/>
        <v>2015</v>
      </c>
      <c r="C152" s="56" t="s">
        <v>6</v>
      </c>
      <c r="D152" s="57">
        <v>67</v>
      </c>
      <c r="E152" s="20" t="s">
        <v>55</v>
      </c>
    </row>
    <row r="153" spans="1:5" x14ac:dyDescent="0.35">
      <c r="A153" s="55">
        <v>42005</v>
      </c>
      <c r="B153" s="56">
        <f t="shared" si="2"/>
        <v>2015</v>
      </c>
      <c r="C153" s="56" t="s">
        <v>11</v>
      </c>
      <c r="D153" s="57">
        <v>30</v>
      </c>
      <c r="E153" s="20" t="s">
        <v>56</v>
      </c>
    </row>
    <row r="154" spans="1:5" x14ac:dyDescent="0.35">
      <c r="A154" s="55">
        <v>42005</v>
      </c>
      <c r="B154" s="56">
        <f t="shared" si="2"/>
        <v>2015</v>
      </c>
      <c r="C154" s="56" t="s">
        <v>8</v>
      </c>
      <c r="D154" s="57">
        <v>107.10000000000001</v>
      </c>
      <c r="E154" s="20" t="s">
        <v>8</v>
      </c>
    </row>
    <row r="155" spans="1:5" x14ac:dyDescent="0.35">
      <c r="A155" s="55">
        <v>42005</v>
      </c>
      <c r="B155" s="56">
        <f t="shared" si="2"/>
        <v>2015</v>
      </c>
      <c r="C155" s="56" t="s">
        <v>12</v>
      </c>
      <c r="D155" s="57">
        <v>4</v>
      </c>
      <c r="E155" s="20" t="s">
        <v>12</v>
      </c>
    </row>
    <row r="156" spans="1:5" x14ac:dyDescent="0.35">
      <c r="A156" s="55">
        <v>42005</v>
      </c>
      <c r="B156" s="56">
        <f t="shared" si="2"/>
        <v>2015</v>
      </c>
      <c r="C156" s="56" t="s">
        <v>50</v>
      </c>
      <c r="D156" s="57">
        <v>6</v>
      </c>
      <c r="E156" s="20" t="s">
        <v>50</v>
      </c>
    </row>
    <row r="157" spans="1:5" x14ac:dyDescent="0.35">
      <c r="A157" s="55">
        <v>42005</v>
      </c>
      <c r="B157" s="56">
        <f t="shared" si="2"/>
        <v>2015</v>
      </c>
      <c r="C157" s="56" t="s">
        <v>51</v>
      </c>
      <c r="D157" s="58">
        <v>18.25</v>
      </c>
      <c r="E157" s="56" t="s">
        <v>51</v>
      </c>
    </row>
    <row r="158" spans="1:5" x14ac:dyDescent="0.35">
      <c r="A158" s="55">
        <v>42036</v>
      </c>
      <c r="B158" s="56">
        <f t="shared" si="2"/>
        <v>2015</v>
      </c>
      <c r="C158" s="56" t="s">
        <v>2</v>
      </c>
      <c r="D158" s="57">
        <v>73</v>
      </c>
      <c r="E158" s="20" t="s">
        <v>55</v>
      </c>
    </row>
    <row r="159" spans="1:5" x14ac:dyDescent="0.35">
      <c r="A159" s="55">
        <v>42036</v>
      </c>
      <c r="B159" s="56">
        <f t="shared" si="2"/>
        <v>2015</v>
      </c>
      <c r="C159" s="56" t="s">
        <v>7</v>
      </c>
      <c r="D159" s="57">
        <v>60</v>
      </c>
      <c r="E159" s="20" t="s">
        <v>56</v>
      </c>
    </row>
    <row r="160" spans="1:5" x14ac:dyDescent="0.35">
      <c r="A160" s="55">
        <v>42036</v>
      </c>
      <c r="B160" s="56">
        <f t="shared" si="2"/>
        <v>2015</v>
      </c>
      <c r="C160" s="56" t="s">
        <v>4</v>
      </c>
      <c r="D160" s="57">
        <v>40</v>
      </c>
      <c r="E160" s="20" t="s">
        <v>55</v>
      </c>
    </row>
    <row r="161" spans="1:5" x14ac:dyDescent="0.35">
      <c r="A161" s="55">
        <v>42036</v>
      </c>
      <c r="B161" s="56">
        <f t="shared" si="2"/>
        <v>2015</v>
      </c>
      <c r="C161" s="56" t="s">
        <v>9</v>
      </c>
      <c r="D161" s="57">
        <v>15</v>
      </c>
      <c r="E161" s="20" t="s">
        <v>56</v>
      </c>
    </row>
    <row r="162" spans="1:5" x14ac:dyDescent="0.35">
      <c r="A162" s="55">
        <v>42036</v>
      </c>
      <c r="B162" s="56">
        <f t="shared" si="2"/>
        <v>2015</v>
      </c>
      <c r="C162" s="56" t="s">
        <v>3</v>
      </c>
      <c r="D162" s="57">
        <v>41</v>
      </c>
      <c r="E162" s="20" t="s">
        <v>55</v>
      </c>
    </row>
    <row r="163" spans="1:5" x14ac:dyDescent="0.35">
      <c r="A163" s="55">
        <v>42036</v>
      </c>
      <c r="B163" s="56">
        <f t="shared" si="2"/>
        <v>2015</v>
      </c>
      <c r="C163" s="56" t="s">
        <v>10</v>
      </c>
      <c r="D163" s="57">
        <v>12</v>
      </c>
      <c r="E163" s="20" t="s">
        <v>56</v>
      </c>
    </row>
    <row r="164" spans="1:5" x14ac:dyDescent="0.35">
      <c r="A164" s="55">
        <v>42036</v>
      </c>
      <c r="B164" s="56">
        <f t="shared" si="2"/>
        <v>2015</v>
      </c>
      <c r="C164" s="56" t="s">
        <v>6</v>
      </c>
      <c r="D164" s="57">
        <v>59</v>
      </c>
      <c r="E164" s="20" t="s">
        <v>55</v>
      </c>
    </row>
    <row r="165" spans="1:5" x14ac:dyDescent="0.35">
      <c r="A165" s="55">
        <v>42036</v>
      </c>
      <c r="B165" s="56">
        <f t="shared" si="2"/>
        <v>2015</v>
      </c>
      <c r="C165" s="56" t="s">
        <v>11</v>
      </c>
      <c r="D165" s="57">
        <v>35</v>
      </c>
      <c r="E165" s="20" t="s">
        <v>56</v>
      </c>
    </row>
    <row r="166" spans="1:5" x14ac:dyDescent="0.35">
      <c r="A166" s="55">
        <v>42036</v>
      </c>
      <c r="B166" s="56">
        <f t="shared" si="2"/>
        <v>2015</v>
      </c>
      <c r="C166" s="56" t="s">
        <v>8</v>
      </c>
      <c r="D166" s="57">
        <v>107.2</v>
      </c>
      <c r="E166" s="20" t="s">
        <v>8</v>
      </c>
    </row>
    <row r="167" spans="1:5" x14ac:dyDescent="0.35">
      <c r="A167" s="55">
        <v>42036</v>
      </c>
      <c r="B167" s="56">
        <f t="shared" si="2"/>
        <v>2015</v>
      </c>
      <c r="C167" s="56" t="s">
        <v>12</v>
      </c>
      <c r="D167" s="57">
        <v>3</v>
      </c>
      <c r="E167" s="20" t="s">
        <v>12</v>
      </c>
    </row>
    <row r="168" spans="1:5" x14ac:dyDescent="0.35">
      <c r="A168" s="55">
        <v>42036</v>
      </c>
      <c r="B168" s="56">
        <f t="shared" si="2"/>
        <v>2015</v>
      </c>
      <c r="C168" s="56" t="s">
        <v>50</v>
      </c>
      <c r="D168" s="57">
        <v>5</v>
      </c>
      <c r="E168" s="20" t="s">
        <v>50</v>
      </c>
    </row>
    <row r="169" spans="1:5" x14ac:dyDescent="0.35">
      <c r="A169" s="55">
        <v>42036</v>
      </c>
      <c r="B169" s="56">
        <f t="shared" si="2"/>
        <v>2015</v>
      </c>
      <c r="C169" s="56" t="s">
        <v>51</v>
      </c>
      <c r="D169" s="58">
        <v>18.23</v>
      </c>
      <c r="E169" s="56" t="s">
        <v>51</v>
      </c>
    </row>
    <row r="170" spans="1:5" x14ac:dyDescent="0.35">
      <c r="A170" s="55">
        <v>42064</v>
      </c>
      <c r="B170" s="56">
        <f t="shared" si="2"/>
        <v>2015</v>
      </c>
      <c r="C170" s="56" t="s">
        <v>2</v>
      </c>
      <c r="D170" s="57">
        <v>55</v>
      </c>
      <c r="E170" s="20" t="s">
        <v>55</v>
      </c>
    </row>
    <row r="171" spans="1:5" x14ac:dyDescent="0.35">
      <c r="A171" s="55">
        <v>42064</v>
      </c>
      <c r="B171" s="56">
        <f t="shared" si="2"/>
        <v>2015</v>
      </c>
      <c r="C171" s="56" t="s">
        <v>7</v>
      </c>
      <c r="D171" s="57">
        <v>49</v>
      </c>
      <c r="E171" s="20" t="s">
        <v>56</v>
      </c>
    </row>
    <row r="172" spans="1:5" x14ac:dyDescent="0.35">
      <c r="A172" s="55">
        <v>42064</v>
      </c>
      <c r="B172" s="56">
        <f t="shared" si="2"/>
        <v>2015</v>
      </c>
      <c r="C172" s="56" t="s">
        <v>4</v>
      </c>
      <c r="D172" s="57">
        <v>37</v>
      </c>
      <c r="E172" s="20" t="s">
        <v>55</v>
      </c>
    </row>
    <row r="173" spans="1:5" x14ac:dyDescent="0.35">
      <c r="A173" s="55">
        <v>42064</v>
      </c>
      <c r="B173" s="56">
        <f t="shared" si="2"/>
        <v>2015</v>
      </c>
      <c r="C173" s="56" t="s">
        <v>9</v>
      </c>
      <c r="D173" s="57">
        <v>20</v>
      </c>
      <c r="E173" s="20" t="s">
        <v>56</v>
      </c>
    </row>
    <row r="174" spans="1:5" x14ac:dyDescent="0.35">
      <c r="A174" s="55">
        <v>42064</v>
      </c>
      <c r="B174" s="56">
        <f t="shared" si="2"/>
        <v>2015</v>
      </c>
      <c r="C174" s="56" t="s">
        <v>3</v>
      </c>
      <c r="D174" s="57">
        <v>46</v>
      </c>
      <c r="E174" s="20" t="s">
        <v>55</v>
      </c>
    </row>
    <row r="175" spans="1:5" x14ac:dyDescent="0.35">
      <c r="A175" s="55">
        <v>42064</v>
      </c>
      <c r="B175" s="56">
        <f t="shared" si="2"/>
        <v>2015</v>
      </c>
      <c r="C175" s="56" t="s">
        <v>10</v>
      </c>
      <c r="D175" s="57">
        <v>18</v>
      </c>
      <c r="E175" s="20" t="s">
        <v>56</v>
      </c>
    </row>
    <row r="176" spans="1:5" x14ac:dyDescent="0.35">
      <c r="A176" s="55">
        <v>42064</v>
      </c>
      <c r="B176" s="56">
        <f t="shared" si="2"/>
        <v>2015</v>
      </c>
      <c r="C176" s="56" t="s">
        <v>6</v>
      </c>
      <c r="D176" s="57">
        <v>56</v>
      </c>
      <c r="E176" s="20" t="s">
        <v>55</v>
      </c>
    </row>
    <row r="177" spans="1:5" x14ac:dyDescent="0.35">
      <c r="A177" s="55">
        <v>42064</v>
      </c>
      <c r="B177" s="56">
        <f t="shared" si="2"/>
        <v>2015</v>
      </c>
      <c r="C177" s="56" t="s">
        <v>11</v>
      </c>
      <c r="D177" s="57">
        <v>35</v>
      </c>
      <c r="E177" s="20" t="s">
        <v>56</v>
      </c>
    </row>
    <row r="178" spans="1:5" x14ac:dyDescent="0.35">
      <c r="A178" s="55">
        <v>42064</v>
      </c>
      <c r="B178" s="56">
        <f t="shared" si="2"/>
        <v>2015</v>
      </c>
      <c r="C178" s="56" t="s">
        <v>8</v>
      </c>
      <c r="D178" s="57">
        <v>104.28</v>
      </c>
      <c r="E178" s="20" t="s">
        <v>8</v>
      </c>
    </row>
    <row r="179" spans="1:5" x14ac:dyDescent="0.35">
      <c r="A179" s="55">
        <v>42064</v>
      </c>
      <c r="B179" s="56">
        <f t="shared" si="2"/>
        <v>2015</v>
      </c>
      <c r="C179" s="56" t="s">
        <v>12</v>
      </c>
      <c r="D179" s="57">
        <v>4</v>
      </c>
      <c r="E179" s="20" t="s">
        <v>12</v>
      </c>
    </row>
    <row r="180" spans="1:5" x14ac:dyDescent="0.35">
      <c r="A180" s="55">
        <v>42064</v>
      </c>
      <c r="B180" s="56">
        <f t="shared" si="2"/>
        <v>2015</v>
      </c>
      <c r="C180" s="56" t="s">
        <v>50</v>
      </c>
      <c r="D180" s="57">
        <v>6</v>
      </c>
      <c r="E180" s="20" t="s">
        <v>50</v>
      </c>
    </row>
    <row r="181" spans="1:5" x14ac:dyDescent="0.35">
      <c r="A181" s="55">
        <v>42064</v>
      </c>
      <c r="B181" s="56">
        <f t="shared" si="2"/>
        <v>2015</v>
      </c>
      <c r="C181" s="56" t="s">
        <v>51</v>
      </c>
      <c r="D181" s="58">
        <v>16.73</v>
      </c>
      <c r="E181" s="56" t="s">
        <v>51</v>
      </c>
    </row>
    <row r="182" spans="1:5" x14ac:dyDescent="0.35">
      <c r="A182" s="55">
        <v>42095</v>
      </c>
      <c r="B182" s="56">
        <f t="shared" si="2"/>
        <v>2015</v>
      </c>
      <c r="C182" s="56" t="s">
        <v>2</v>
      </c>
      <c r="D182" s="57">
        <v>56</v>
      </c>
      <c r="E182" s="20" t="s">
        <v>55</v>
      </c>
    </row>
    <row r="183" spans="1:5" x14ac:dyDescent="0.35">
      <c r="A183" s="55">
        <v>42095</v>
      </c>
      <c r="B183" s="56">
        <f t="shared" si="2"/>
        <v>2015</v>
      </c>
      <c r="C183" s="56" t="s">
        <v>7</v>
      </c>
      <c r="D183" s="57">
        <v>47</v>
      </c>
      <c r="E183" s="20" t="s">
        <v>56</v>
      </c>
    </row>
    <row r="184" spans="1:5" x14ac:dyDescent="0.35">
      <c r="A184" s="55">
        <v>42095</v>
      </c>
      <c r="B184" s="56">
        <f t="shared" si="2"/>
        <v>2015</v>
      </c>
      <c r="C184" s="56" t="s">
        <v>4</v>
      </c>
      <c r="D184" s="57">
        <v>38</v>
      </c>
      <c r="E184" s="20" t="s">
        <v>55</v>
      </c>
    </row>
    <row r="185" spans="1:5" x14ac:dyDescent="0.35">
      <c r="A185" s="55">
        <v>42095</v>
      </c>
      <c r="B185" s="56">
        <f t="shared" si="2"/>
        <v>2015</v>
      </c>
      <c r="C185" s="56" t="s">
        <v>9</v>
      </c>
      <c r="D185" s="57">
        <v>13</v>
      </c>
      <c r="E185" s="20" t="s">
        <v>56</v>
      </c>
    </row>
    <row r="186" spans="1:5" x14ac:dyDescent="0.35">
      <c r="A186" s="55">
        <v>42095</v>
      </c>
      <c r="B186" s="56">
        <f t="shared" si="2"/>
        <v>2015</v>
      </c>
      <c r="C186" s="56" t="s">
        <v>3</v>
      </c>
      <c r="D186" s="57">
        <v>41</v>
      </c>
      <c r="E186" s="20" t="s">
        <v>55</v>
      </c>
    </row>
    <row r="187" spans="1:5" x14ac:dyDescent="0.35">
      <c r="A187" s="55">
        <v>42095</v>
      </c>
      <c r="B187" s="56">
        <f t="shared" si="2"/>
        <v>2015</v>
      </c>
      <c r="C187" s="56" t="s">
        <v>10</v>
      </c>
      <c r="D187" s="57">
        <v>18</v>
      </c>
      <c r="E187" s="20" t="s">
        <v>56</v>
      </c>
    </row>
    <row r="188" spans="1:5" x14ac:dyDescent="0.35">
      <c r="A188" s="55">
        <v>42095</v>
      </c>
      <c r="B188" s="56">
        <f t="shared" si="2"/>
        <v>2015</v>
      </c>
      <c r="C188" s="56" t="s">
        <v>6</v>
      </c>
      <c r="D188" s="57">
        <v>57</v>
      </c>
      <c r="E188" s="20" t="s">
        <v>55</v>
      </c>
    </row>
    <row r="189" spans="1:5" x14ac:dyDescent="0.35">
      <c r="A189" s="55">
        <v>42095</v>
      </c>
      <c r="B189" s="56">
        <f t="shared" si="2"/>
        <v>2015</v>
      </c>
      <c r="C189" s="56" t="s">
        <v>11</v>
      </c>
      <c r="D189" s="57">
        <v>32</v>
      </c>
      <c r="E189" s="20" t="s">
        <v>56</v>
      </c>
    </row>
    <row r="190" spans="1:5" x14ac:dyDescent="0.35">
      <c r="A190" s="55">
        <v>42095</v>
      </c>
      <c r="B190" s="56">
        <f t="shared" si="2"/>
        <v>2015</v>
      </c>
      <c r="C190" s="56" t="s">
        <v>8</v>
      </c>
      <c r="D190" s="57">
        <v>105.69999999999999</v>
      </c>
      <c r="E190" s="20" t="s">
        <v>8</v>
      </c>
    </row>
    <row r="191" spans="1:5" x14ac:dyDescent="0.35">
      <c r="A191" s="55">
        <v>42095</v>
      </c>
      <c r="B191" s="56">
        <f t="shared" si="2"/>
        <v>2015</v>
      </c>
      <c r="C191" s="56" t="s">
        <v>12</v>
      </c>
      <c r="D191" s="57">
        <v>3</v>
      </c>
      <c r="E191" s="20" t="s">
        <v>12</v>
      </c>
    </row>
    <row r="192" spans="1:5" x14ac:dyDescent="0.35">
      <c r="A192" s="55">
        <v>42095</v>
      </c>
      <c r="B192" s="56">
        <f t="shared" si="2"/>
        <v>2015</v>
      </c>
      <c r="C192" s="56" t="s">
        <v>50</v>
      </c>
      <c r="D192" s="57">
        <v>5</v>
      </c>
      <c r="E192" s="20" t="s">
        <v>50</v>
      </c>
    </row>
    <row r="193" spans="1:5" x14ac:dyDescent="0.35">
      <c r="A193" s="55">
        <v>42095</v>
      </c>
      <c r="B193" s="56">
        <f t="shared" si="2"/>
        <v>2015</v>
      </c>
      <c r="C193" s="56" t="s">
        <v>51</v>
      </c>
      <c r="D193" s="58">
        <v>16.53</v>
      </c>
      <c r="E193" s="56" t="s">
        <v>51</v>
      </c>
    </row>
    <row r="194" spans="1:5" x14ac:dyDescent="0.35">
      <c r="A194" s="55">
        <v>42125</v>
      </c>
      <c r="B194" s="56">
        <f t="shared" si="2"/>
        <v>2015</v>
      </c>
      <c r="C194" s="56" t="s">
        <v>2</v>
      </c>
      <c r="D194" s="57">
        <v>62</v>
      </c>
      <c r="E194" s="20" t="s">
        <v>55</v>
      </c>
    </row>
    <row r="195" spans="1:5" x14ac:dyDescent="0.35">
      <c r="A195" s="55">
        <v>42125</v>
      </c>
      <c r="B195" s="56">
        <f t="shared" ref="B195:B258" si="3">YEAR(A195)</f>
        <v>2015</v>
      </c>
      <c r="C195" s="56" t="s">
        <v>7</v>
      </c>
      <c r="D195" s="57">
        <v>46</v>
      </c>
      <c r="E195" s="20" t="s">
        <v>56</v>
      </c>
    </row>
    <row r="196" spans="1:5" x14ac:dyDescent="0.35">
      <c r="A196" s="55">
        <v>42125</v>
      </c>
      <c r="B196" s="56">
        <f t="shared" si="3"/>
        <v>2015</v>
      </c>
      <c r="C196" s="56" t="s">
        <v>4</v>
      </c>
      <c r="D196" s="57">
        <v>37</v>
      </c>
      <c r="E196" s="20" t="s">
        <v>55</v>
      </c>
    </row>
    <row r="197" spans="1:5" x14ac:dyDescent="0.35">
      <c r="A197" s="55">
        <v>42125</v>
      </c>
      <c r="B197" s="56">
        <f t="shared" si="3"/>
        <v>2015</v>
      </c>
      <c r="C197" s="56" t="s">
        <v>9</v>
      </c>
      <c r="D197" s="57">
        <v>18</v>
      </c>
      <c r="E197" s="20" t="s">
        <v>56</v>
      </c>
    </row>
    <row r="198" spans="1:5" x14ac:dyDescent="0.35">
      <c r="A198" s="55">
        <v>42125</v>
      </c>
      <c r="B198" s="56">
        <f t="shared" si="3"/>
        <v>2015</v>
      </c>
      <c r="C198" s="56" t="s">
        <v>3</v>
      </c>
      <c r="D198" s="57">
        <v>35</v>
      </c>
      <c r="E198" s="20" t="s">
        <v>55</v>
      </c>
    </row>
    <row r="199" spans="1:5" x14ac:dyDescent="0.35">
      <c r="A199" s="55">
        <v>42125</v>
      </c>
      <c r="B199" s="56">
        <f t="shared" si="3"/>
        <v>2015</v>
      </c>
      <c r="C199" s="56" t="s">
        <v>10</v>
      </c>
      <c r="D199" s="57">
        <v>17</v>
      </c>
      <c r="E199" s="20" t="s">
        <v>56</v>
      </c>
    </row>
    <row r="200" spans="1:5" x14ac:dyDescent="0.35">
      <c r="A200" s="55">
        <v>42125</v>
      </c>
      <c r="B200" s="56">
        <f t="shared" si="3"/>
        <v>2015</v>
      </c>
      <c r="C200" s="56" t="s">
        <v>6</v>
      </c>
      <c r="D200" s="57">
        <v>57</v>
      </c>
      <c r="E200" s="20" t="s">
        <v>55</v>
      </c>
    </row>
    <row r="201" spans="1:5" x14ac:dyDescent="0.35">
      <c r="A201" s="55">
        <v>42125</v>
      </c>
      <c r="B201" s="56">
        <f t="shared" si="3"/>
        <v>2015</v>
      </c>
      <c r="C201" s="56" t="s">
        <v>11</v>
      </c>
      <c r="D201" s="57">
        <v>32</v>
      </c>
      <c r="E201" s="20" t="s">
        <v>56</v>
      </c>
    </row>
    <row r="202" spans="1:5" x14ac:dyDescent="0.35">
      <c r="A202" s="55">
        <v>42125</v>
      </c>
      <c r="B202" s="56">
        <f t="shared" si="3"/>
        <v>2015</v>
      </c>
      <c r="C202" s="56" t="s">
        <v>8</v>
      </c>
      <c r="D202" s="57">
        <v>109.44</v>
      </c>
      <c r="E202" s="20" t="s">
        <v>8</v>
      </c>
    </row>
    <row r="203" spans="1:5" x14ac:dyDescent="0.35">
      <c r="A203" s="55">
        <v>42125</v>
      </c>
      <c r="B203" s="56">
        <f t="shared" si="3"/>
        <v>2015</v>
      </c>
      <c r="C203" s="56" t="s">
        <v>12</v>
      </c>
      <c r="D203" s="57">
        <v>3</v>
      </c>
      <c r="E203" s="20" t="s">
        <v>12</v>
      </c>
    </row>
    <row r="204" spans="1:5" x14ac:dyDescent="0.35">
      <c r="A204" s="55">
        <v>42125</v>
      </c>
      <c r="B204" s="56">
        <f t="shared" si="3"/>
        <v>2015</v>
      </c>
      <c r="C204" s="56" t="s">
        <v>50</v>
      </c>
      <c r="D204" s="57">
        <v>5</v>
      </c>
      <c r="E204" s="20" t="s">
        <v>50</v>
      </c>
    </row>
    <row r="205" spans="1:5" x14ac:dyDescent="0.35">
      <c r="A205" s="55">
        <v>42125</v>
      </c>
      <c r="B205" s="56">
        <f t="shared" si="3"/>
        <v>2015</v>
      </c>
      <c r="C205" s="56" t="s">
        <v>51</v>
      </c>
      <c r="D205" s="58">
        <v>16.400000000000002</v>
      </c>
      <c r="E205" s="56" t="s">
        <v>51</v>
      </c>
    </row>
    <row r="206" spans="1:5" x14ac:dyDescent="0.35">
      <c r="A206" s="55">
        <v>42156</v>
      </c>
      <c r="B206" s="56">
        <f t="shared" si="3"/>
        <v>2015</v>
      </c>
      <c r="C206" s="56" t="s">
        <v>2</v>
      </c>
      <c r="D206" s="57">
        <v>70</v>
      </c>
      <c r="E206" s="20" t="s">
        <v>55</v>
      </c>
    </row>
    <row r="207" spans="1:5" x14ac:dyDescent="0.35">
      <c r="A207" s="55">
        <v>42156</v>
      </c>
      <c r="B207" s="56">
        <f t="shared" si="3"/>
        <v>2015</v>
      </c>
      <c r="C207" s="56" t="s">
        <v>7</v>
      </c>
      <c r="D207" s="57">
        <v>56</v>
      </c>
      <c r="E207" s="20" t="s">
        <v>56</v>
      </c>
    </row>
    <row r="208" spans="1:5" x14ac:dyDescent="0.35">
      <c r="A208" s="55">
        <v>42156</v>
      </c>
      <c r="B208" s="56">
        <f t="shared" si="3"/>
        <v>2015</v>
      </c>
      <c r="C208" s="56" t="s">
        <v>4</v>
      </c>
      <c r="D208" s="57">
        <v>33</v>
      </c>
      <c r="E208" s="20" t="s">
        <v>55</v>
      </c>
    </row>
    <row r="209" spans="1:5" x14ac:dyDescent="0.35">
      <c r="A209" s="55">
        <v>42156</v>
      </c>
      <c r="B209" s="56">
        <f t="shared" si="3"/>
        <v>2015</v>
      </c>
      <c r="C209" s="56" t="s">
        <v>9</v>
      </c>
      <c r="D209" s="57">
        <v>16</v>
      </c>
      <c r="E209" s="20" t="s">
        <v>56</v>
      </c>
    </row>
    <row r="210" spans="1:5" x14ac:dyDescent="0.35">
      <c r="A210" s="55">
        <v>42156</v>
      </c>
      <c r="B210" s="56">
        <f t="shared" si="3"/>
        <v>2015</v>
      </c>
      <c r="C210" s="56" t="s">
        <v>3</v>
      </c>
      <c r="D210" s="57">
        <v>49</v>
      </c>
      <c r="E210" s="20" t="s">
        <v>55</v>
      </c>
    </row>
    <row r="211" spans="1:5" x14ac:dyDescent="0.35">
      <c r="A211" s="55">
        <v>42156</v>
      </c>
      <c r="B211" s="56">
        <f t="shared" si="3"/>
        <v>2015</v>
      </c>
      <c r="C211" s="56" t="s">
        <v>10</v>
      </c>
      <c r="D211" s="57">
        <v>17</v>
      </c>
      <c r="E211" s="20" t="s">
        <v>56</v>
      </c>
    </row>
    <row r="212" spans="1:5" x14ac:dyDescent="0.35">
      <c r="A212" s="55">
        <v>42156</v>
      </c>
      <c r="B212" s="56">
        <f t="shared" si="3"/>
        <v>2015</v>
      </c>
      <c r="C212" s="56" t="s">
        <v>6</v>
      </c>
      <c r="D212" s="57">
        <v>64</v>
      </c>
      <c r="E212" s="20" t="s">
        <v>55</v>
      </c>
    </row>
    <row r="213" spans="1:5" x14ac:dyDescent="0.35">
      <c r="A213" s="55">
        <v>42156</v>
      </c>
      <c r="B213" s="56">
        <f t="shared" si="3"/>
        <v>2015</v>
      </c>
      <c r="C213" s="56" t="s">
        <v>11</v>
      </c>
      <c r="D213" s="57">
        <v>33</v>
      </c>
      <c r="E213" s="20" t="s">
        <v>56</v>
      </c>
    </row>
    <row r="214" spans="1:5" x14ac:dyDescent="0.35">
      <c r="A214" s="55">
        <v>42156</v>
      </c>
      <c r="B214" s="56">
        <f t="shared" si="3"/>
        <v>2015</v>
      </c>
      <c r="C214" s="56" t="s">
        <v>8</v>
      </c>
      <c r="D214" s="57">
        <v>104.78</v>
      </c>
      <c r="E214" s="20" t="s">
        <v>8</v>
      </c>
    </row>
    <row r="215" spans="1:5" x14ac:dyDescent="0.35">
      <c r="A215" s="55">
        <v>42156</v>
      </c>
      <c r="B215" s="56">
        <f t="shared" si="3"/>
        <v>2015</v>
      </c>
      <c r="C215" s="56" t="s">
        <v>12</v>
      </c>
      <c r="D215" s="57">
        <v>4</v>
      </c>
      <c r="E215" s="20" t="s">
        <v>12</v>
      </c>
    </row>
    <row r="216" spans="1:5" x14ac:dyDescent="0.35">
      <c r="A216" s="55">
        <v>42156</v>
      </c>
      <c r="B216" s="56">
        <f t="shared" si="3"/>
        <v>2015</v>
      </c>
      <c r="C216" s="56" t="s">
        <v>50</v>
      </c>
      <c r="D216" s="57">
        <v>6</v>
      </c>
      <c r="E216" s="20" t="s">
        <v>50</v>
      </c>
    </row>
    <row r="217" spans="1:5" x14ac:dyDescent="0.35">
      <c r="A217" s="55">
        <v>42156</v>
      </c>
      <c r="B217" s="56">
        <f t="shared" si="3"/>
        <v>2015</v>
      </c>
      <c r="C217" s="56" t="s">
        <v>51</v>
      </c>
      <c r="D217" s="58">
        <v>18.72</v>
      </c>
      <c r="E217" s="56" t="s">
        <v>51</v>
      </c>
    </row>
    <row r="218" spans="1:5" x14ac:dyDescent="0.35">
      <c r="A218" s="55">
        <v>42186</v>
      </c>
      <c r="B218" s="56">
        <f t="shared" si="3"/>
        <v>2015</v>
      </c>
      <c r="C218" s="56" t="s">
        <v>2</v>
      </c>
      <c r="D218" s="57">
        <v>68</v>
      </c>
      <c r="E218" s="20" t="s">
        <v>55</v>
      </c>
    </row>
    <row r="219" spans="1:5" x14ac:dyDescent="0.35">
      <c r="A219" s="55">
        <v>42186</v>
      </c>
      <c r="B219" s="56">
        <f t="shared" si="3"/>
        <v>2015</v>
      </c>
      <c r="C219" s="56" t="s">
        <v>7</v>
      </c>
      <c r="D219" s="57">
        <v>52</v>
      </c>
      <c r="E219" s="20" t="s">
        <v>56</v>
      </c>
    </row>
    <row r="220" spans="1:5" x14ac:dyDescent="0.35">
      <c r="A220" s="55">
        <v>42186</v>
      </c>
      <c r="B220" s="56">
        <f t="shared" si="3"/>
        <v>2015</v>
      </c>
      <c r="C220" s="56" t="s">
        <v>4</v>
      </c>
      <c r="D220" s="57">
        <v>33</v>
      </c>
      <c r="E220" s="20" t="s">
        <v>55</v>
      </c>
    </row>
    <row r="221" spans="1:5" x14ac:dyDescent="0.35">
      <c r="A221" s="55">
        <v>42186</v>
      </c>
      <c r="B221" s="56">
        <f t="shared" si="3"/>
        <v>2015</v>
      </c>
      <c r="C221" s="56" t="s">
        <v>9</v>
      </c>
      <c r="D221" s="57">
        <v>16</v>
      </c>
      <c r="E221" s="20" t="s">
        <v>56</v>
      </c>
    </row>
    <row r="222" spans="1:5" x14ac:dyDescent="0.35">
      <c r="A222" s="55">
        <v>42186</v>
      </c>
      <c r="B222" s="56">
        <f t="shared" si="3"/>
        <v>2015</v>
      </c>
      <c r="C222" s="56" t="s">
        <v>3</v>
      </c>
      <c r="D222" s="57">
        <v>40</v>
      </c>
      <c r="E222" s="20" t="s">
        <v>55</v>
      </c>
    </row>
    <row r="223" spans="1:5" x14ac:dyDescent="0.35">
      <c r="A223" s="55">
        <v>42186</v>
      </c>
      <c r="B223" s="56">
        <f t="shared" si="3"/>
        <v>2015</v>
      </c>
      <c r="C223" s="56" t="s">
        <v>10</v>
      </c>
      <c r="D223" s="57">
        <v>15</v>
      </c>
      <c r="E223" s="20" t="s">
        <v>56</v>
      </c>
    </row>
    <row r="224" spans="1:5" x14ac:dyDescent="0.35">
      <c r="A224" s="55">
        <v>42186</v>
      </c>
      <c r="B224" s="56">
        <f t="shared" si="3"/>
        <v>2015</v>
      </c>
      <c r="C224" s="56" t="s">
        <v>6</v>
      </c>
      <c r="D224" s="57">
        <v>55</v>
      </c>
      <c r="E224" s="20" t="s">
        <v>55</v>
      </c>
    </row>
    <row r="225" spans="1:5" x14ac:dyDescent="0.35">
      <c r="A225" s="55">
        <v>42186</v>
      </c>
      <c r="B225" s="56">
        <f t="shared" si="3"/>
        <v>2015</v>
      </c>
      <c r="C225" s="56" t="s">
        <v>11</v>
      </c>
      <c r="D225" s="57">
        <v>31</v>
      </c>
      <c r="E225" s="20" t="s">
        <v>56</v>
      </c>
    </row>
    <row r="226" spans="1:5" x14ac:dyDescent="0.35">
      <c r="A226" s="55">
        <v>42186</v>
      </c>
      <c r="B226" s="56">
        <f t="shared" si="3"/>
        <v>2015</v>
      </c>
      <c r="C226" s="56" t="s">
        <v>8</v>
      </c>
      <c r="D226" s="57">
        <v>99.2</v>
      </c>
      <c r="E226" s="20" t="s">
        <v>8</v>
      </c>
    </row>
    <row r="227" spans="1:5" x14ac:dyDescent="0.35">
      <c r="A227" s="55">
        <v>42186</v>
      </c>
      <c r="B227" s="56">
        <f t="shared" si="3"/>
        <v>2015</v>
      </c>
      <c r="C227" s="56" t="s">
        <v>12</v>
      </c>
      <c r="D227" s="57">
        <v>4</v>
      </c>
      <c r="E227" s="20" t="s">
        <v>12</v>
      </c>
    </row>
    <row r="228" spans="1:5" x14ac:dyDescent="0.35">
      <c r="A228" s="55">
        <v>42186</v>
      </c>
      <c r="B228" s="56">
        <f t="shared" si="3"/>
        <v>2015</v>
      </c>
      <c r="C228" s="56" t="s">
        <v>50</v>
      </c>
      <c r="D228" s="57">
        <v>5</v>
      </c>
      <c r="E228" s="20" t="s">
        <v>50</v>
      </c>
    </row>
    <row r="229" spans="1:5" x14ac:dyDescent="0.35">
      <c r="A229" s="55">
        <v>42186</v>
      </c>
      <c r="B229" s="56">
        <f t="shared" si="3"/>
        <v>2015</v>
      </c>
      <c r="C229" s="56" t="s">
        <v>51</v>
      </c>
      <c r="D229" s="58">
        <v>16.850000000000001</v>
      </c>
      <c r="E229" s="56" t="s">
        <v>51</v>
      </c>
    </row>
    <row r="230" spans="1:5" x14ac:dyDescent="0.35">
      <c r="A230" s="55">
        <v>42217</v>
      </c>
      <c r="B230" s="56">
        <f t="shared" si="3"/>
        <v>2015</v>
      </c>
      <c r="C230" s="56" t="s">
        <v>2</v>
      </c>
      <c r="D230" s="57">
        <v>69</v>
      </c>
      <c r="E230" s="20" t="s">
        <v>55</v>
      </c>
    </row>
    <row r="231" spans="1:5" x14ac:dyDescent="0.35">
      <c r="A231" s="55">
        <v>42217</v>
      </c>
      <c r="B231" s="56">
        <f t="shared" si="3"/>
        <v>2015</v>
      </c>
      <c r="C231" s="56" t="s">
        <v>7</v>
      </c>
      <c r="D231" s="57">
        <v>48</v>
      </c>
      <c r="E231" s="20" t="s">
        <v>56</v>
      </c>
    </row>
    <row r="232" spans="1:5" x14ac:dyDescent="0.35">
      <c r="A232" s="55">
        <v>42217</v>
      </c>
      <c r="B232" s="56">
        <f t="shared" si="3"/>
        <v>2015</v>
      </c>
      <c r="C232" s="56" t="s">
        <v>4</v>
      </c>
      <c r="D232" s="57">
        <v>39</v>
      </c>
      <c r="E232" s="20" t="s">
        <v>55</v>
      </c>
    </row>
    <row r="233" spans="1:5" x14ac:dyDescent="0.35">
      <c r="A233" s="55">
        <v>42217</v>
      </c>
      <c r="B233" s="56">
        <f t="shared" si="3"/>
        <v>2015</v>
      </c>
      <c r="C233" s="56" t="s">
        <v>9</v>
      </c>
      <c r="D233" s="57">
        <v>20</v>
      </c>
      <c r="E233" s="20" t="s">
        <v>56</v>
      </c>
    </row>
    <row r="234" spans="1:5" x14ac:dyDescent="0.35">
      <c r="A234" s="55">
        <v>42217</v>
      </c>
      <c r="B234" s="56">
        <f t="shared" si="3"/>
        <v>2015</v>
      </c>
      <c r="C234" s="56" t="s">
        <v>3</v>
      </c>
      <c r="D234" s="57">
        <v>50</v>
      </c>
      <c r="E234" s="20" t="s">
        <v>55</v>
      </c>
    </row>
    <row r="235" spans="1:5" x14ac:dyDescent="0.35">
      <c r="A235" s="55">
        <v>42217</v>
      </c>
      <c r="B235" s="56">
        <f t="shared" si="3"/>
        <v>2015</v>
      </c>
      <c r="C235" s="56" t="s">
        <v>10</v>
      </c>
      <c r="D235" s="57">
        <v>15</v>
      </c>
      <c r="E235" s="20" t="s">
        <v>56</v>
      </c>
    </row>
    <row r="236" spans="1:5" x14ac:dyDescent="0.35">
      <c r="A236" s="55">
        <v>42217</v>
      </c>
      <c r="B236" s="56">
        <f t="shared" si="3"/>
        <v>2015</v>
      </c>
      <c r="C236" s="56" t="s">
        <v>6</v>
      </c>
      <c r="D236" s="57">
        <v>64</v>
      </c>
      <c r="E236" s="20" t="s">
        <v>55</v>
      </c>
    </row>
    <row r="237" spans="1:5" x14ac:dyDescent="0.35">
      <c r="A237" s="55">
        <v>42217</v>
      </c>
      <c r="B237" s="56">
        <f t="shared" si="3"/>
        <v>2015</v>
      </c>
      <c r="C237" s="56" t="s">
        <v>11</v>
      </c>
      <c r="D237" s="57">
        <v>32</v>
      </c>
      <c r="E237" s="20" t="s">
        <v>56</v>
      </c>
    </row>
    <row r="238" spans="1:5" x14ac:dyDescent="0.35">
      <c r="A238" s="55">
        <v>42217</v>
      </c>
      <c r="B238" s="56">
        <f t="shared" si="3"/>
        <v>2015</v>
      </c>
      <c r="C238" s="56" t="s">
        <v>8</v>
      </c>
      <c r="D238" s="57">
        <v>104.47</v>
      </c>
      <c r="E238" s="20" t="s">
        <v>8</v>
      </c>
    </row>
    <row r="239" spans="1:5" x14ac:dyDescent="0.35">
      <c r="A239" s="55">
        <v>42217</v>
      </c>
      <c r="B239" s="56">
        <f t="shared" si="3"/>
        <v>2015</v>
      </c>
      <c r="C239" s="56" t="s">
        <v>12</v>
      </c>
      <c r="D239" s="57">
        <v>4</v>
      </c>
      <c r="E239" s="20" t="s">
        <v>12</v>
      </c>
    </row>
    <row r="240" spans="1:5" x14ac:dyDescent="0.35">
      <c r="A240" s="55">
        <v>42217</v>
      </c>
      <c r="B240" s="56">
        <f t="shared" si="3"/>
        <v>2015</v>
      </c>
      <c r="C240" s="56" t="s">
        <v>50</v>
      </c>
      <c r="D240" s="57">
        <v>5</v>
      </c>
      <c r="E240" s="20" t="s">
        <v>50</v>
      </c>
    </row>
    <row r="241" spans="1:5" x14ac:dyDescent="0.35">
      <c r="A241" s="55">
        <v>42217</v>
      </c>
      <c r="B241" s="56">
        <f t="shared" si="3"/>
        <v>2015</v>
      </c>
      <c r="C241" s="56" t="s">
        <v>51</v>
      </c>
      <c r="D241" s="58">
        <v>19.149999999999999</v>
      </c>
      <c r="E241" s="56" t="s">
        <v>51</v>
      </c>
    </row>
    <row r="242" spans="1:5" x14ac:dyDescent="0.35">
      <c r="A242" s="55">
        <v>42248</v>
      </c>
      <c r="B242" s="56">
        <f t="shared" si="3"/>
        <v>2015</v>
      </c>
      <c r="C242" s="56" t="s">
        <v>2</v>
      </c>
      <c r="D242" s="57">
        <v>57</v>
      </c>
      <c r="E242" s="20" t="s">
        <v>55</v>
      </c>
    </row>
    <row r="243" spans="1:5" x14ac:dyDescent="0.35">
      <c r="A243" s="55">
        <v>42248</v>
      </c>
      <c r="B243" s="56">
        <f t="shared" si="3"/>
        <v>2015</v>
      </c>
      <c r="C243" s="56" t="s">
        <v>7</v>
      </c>
      <c r="D243" s="57">
        <v>53</v>
      </c>
      <c r="E243" s="20" t="s">
        <v>56</v>
      </c>
    </row>
    <row r="244" spans="1:5" x14ac:dyDescent="0.35">
      <c r="A244" s="55">
        <v>42248</v>
      </c>
      <c r="B244" s="56">
        <f t="shared" si="3"/>
        <v>2015</v>
      </c>
      <c r="C244" s="56" t="s">
        <v>4</v>
      </c>
      <c r="D244" s="57">
        <v>28</v>
      </c>
      <c r="E244" s="20" t="s">
        <v>55</v>
      </c>
    </row>
    <row r="245" spans="1:5" x14ac:dyDescent="0.35">
      <c r="A245" s="55">
        <v>42248</v>
      </c>
      <c r="B245" s="56">
        <f t="shared" si="3"/>
        <v>2015</v>
      </c>
      <c r="C245" s="56" t="s">
        <v>9</v>
      </c>
      <c r="D245" s="57">
        <v>17</v>
      </c>
      <c r="E245" s="20" t="s">
        <v>56</v>
      </c>
    </row>
    <row r="246" spans="1:5" x14ac:dyDescent="0.35">
      <c r="A246" s="55">
        <v>42248</v>
      </c>
      <c r="B246" s="56">
        <f t="shared" si="3"/>
        <v>2015</v>
      </c>
      <c r="C246" s="56" t="s">
        <v>3</v>
      </c>
      <c r="D246" s="57">
        <v>42</v>
      </c>
      <c r="E246" s="20" t="s">
        <v>55</v>
      </c>
    </row>
    <row r="247" spans="1:5" x14ac:dyDescent="0.35">
      <c r="A247" s="55">
        <v>42248</v>
      </c>
      <c r="B247" s="56">
        <f t="shared" si="3"/>
        <v>2015</v>
      </c>
      <c r="C247" s="56" t="s">
        <v>10</v>
      </c>
      <c r="D247" s="57">
        <v>14</v>
      </c>
      <c r="E247" s="20" t="s">
        <v>56</v>
      </c>
    </row>
    <row r="248" spans="1:5" x14ac:dyDescent="0.35">
      <c r="A248" s="55">
        <v>42248</v>
      </c>
      <c r="B248" s="56">
        <f t="shared" si="3"/>
        <v>2015</v>
      </c>
      <c r="C248" s="56" t="s">
        <v>6</v>
      </c>
      <c r="D248" s="57">
        <v>57</v>
      </c>
      <c r="E248" s="20" t="s">
        <v>55</v>
      </c>
    </row>
    <row r="249" spans="1:5" x14ac:dyDescent="0.35">
      <c r="A249" s="55">
        <v>42248</v>
      </c>
      <c r="B249" s="56">
        <f t="shared" si="3"/>
        <v>2015</v>
      </c>
      <c r="C249" s="56" t="s">
        <v>11</v>
      </c>
      <c r="D249" s="57">
        <v>32</v>
      </c>
      <c r="E249" s="20" t="s">
        <v>56</v>
      </c>
    </row>
    <row r="250" spans="1:5" x14ac:dyDescent="0.35">
      <c r="A250" s="55">
        <v>42248</v>
      </c>
      <c r="B250" s="56">
        <f t="shared" si="3"/>
        <v>2015</v>
      </c>
      <c r="C250" s="56" t="s">
        <v>8</v>
      </c>
      <c r="D250" s="57">
        <v>96</v>
      </c>
      <c r="E250" s="20" t="s">
        <v>8</v>
      </c>
    </row>
    <row r="251" spans="1:5" x14ac:dyDescent="0.35">
      <c r="A251" s="55">
        <v>42248</v>
      </c>
      <c r="B251" s="56">
        <f t="shared" si="3"/>
        <v>2015</v>
      </c>
      <c r="C251" s="56" t="s">
        <v>12</v>
      </c>
      <c r="D251" s="57">
        <v>4</v>
      </c>
      <c r="E251" s="20" t="s">
        <v>12</v>
      </c>
    </row>
    <row r="252" spans="1:5" x14ac:dyDescent="0.35">
      <c r="A252" s="55">
        <v>42248</v>
      </c>
      <c r="B252" s="56">
        <f t="shared" si="3"/>
        <v>2015</v>
      </c>
      <c r="C252" s="56" t="s">
        <v>50</v>
      </c>
      <c r="D252" s="57">
        <v>5</v>
      </c>
      <c r="E252" s="20" t="s">
        <v>50</v>
      </c>
    </row>
    <row r="253" spans="1:5" x14ac:dyDescent="0.35">
      <c r="A253" s="55">
        <v>42248</v>
      </c>
      <c r="B253" s="56">
        <f t="shared" si="3"/>
        <v>2015</v>
      </c>
      <c r="C253" s="56" t="s">
        <v>51</v>
      </c>
      <c r="D253" s="58">
        <v>16</v>
      </c>
      <c r="E253" s="56" t="s">
        <v>51</v>
      </c>
    </row>
    <row r="254" spans="1:5" x14ac:dyDescent="0.35">
      <c r="A254" s="55">
        <v>42278</v>
      </c>
      <c r="B254" s="56">
        <f t="shared" si="3"/>
        <v>2015</v>
      </c>
      <c r="C254" s="56" t="s">
        <v>2</v>
      </c>
      <c r="D254" s="57">
        <v>72</v>
      </c>
      <c r="E254" s="20" t="s">
        <v>55</v>
      </c>
    </row>
    <row r="255" spans="1:5" x14ac:dyDescent="0.35">
      <c r="A255" s="55">
        <v>42278</v>
      </c>
      <c r="B255" s="56">
        <f t="shared" si="3"/>
        <v>2015</v>
      </c>
      <c r="C255" s="56" t="s">
        <v>7</v>
      </c>
      <c r="D255" s="57">
        <v>58</v>
      </c>
      <c r="E255" s="20" t="s">
        <v>56</v>
      </c>
    </row>
    <row r="256" spans="1:5" x14ac:dyDescent="0.35">
      <c r="A256" s="55">
        <v>42278</v>
      </c>
      <c r="B256" s="56">
        <f t="shared" si="3"/>
        <v>2015</v>
      </c>
      <c r="C256" s="56" t="s">
        <v>4</v>
      </c>
      <c r="D256" s="57">
        <v>39</v>
      </c>
      <c r="E256" s="20" t="s">
        <v>55</v>
      </c>
    </row>
    <row r="257" spans="1:5" x14ac:dyDescent="0.35">
      <c r="A257" s="55">
        <v>42278</v>
      </c>
      <c r="B257" s="56">
        <f t="shared" si="3"/>
        <v>2015</v>
      </c>
      <c r="C257" s="56" t="s">
        <v>9</v>
      </c>
      <c r="D257" s="57">
        <v>13</v>
      </c>
      <c r="E257" s="20" t="s">
        <v>56</v>
      </c>
    </row>
    <row r="258" spans="1:5" x14ac:dyDescent="0.35">
      <c r="A258" s="55">
        <v>42278</v>
      </c>
      <c r="B258" s="56">
        <f t="shared" si="3"/>
        <v>2015</v>
      </c>
      <c r="C258" s="56" t="s">
        <v>3</v>
      </c>
      <c r="D258" s="57">
        <v>39</v>
      </c>
      <c r="E258" s="20" t="s">
        <v>55</v>
      </c>
    </row>
    <row r="259" spans="1:5" x14ac:dyDescent="0.35">
      <c r="A259" s="55">
        <v>42278</v>
      </c>
      <c r="B259" s="56">
        <f t="shared" ref="B259:B322" si="4">YEAR(A259)</f>
        <v>2015</v>
      </c>
      <c r="C259" s="56" t="s">
        <v>10</v>
      </c>
      <c r="D259" s="57">
        <v>14</v>
      </c>
      <c r="E259" s="20" t="s">
        <v>56</v>
      </c>
    </row>
    <row r="260" spans="1:5" x14ac:dyDescent="0.35">
      <c r="A260" s="55">
        <v>42278</v>
      </c>
      <c r="B260" s="56">
        <f t="shared" si="4"/>
        <v>2015</v>
      </c>
      <c r="C260" s="56" t="s">
        <v>6</v>
      </c>
      <c r="D260" s="57">
        <v>56</v>
      </c>
      <c r="E260" s="20" t="s">
        <v>55</v>
      </c>
    </row>
    <row r="261" spans="1:5" x14ac:dyDescent="0.35">
      <c r="A261" s="55">
        <v>42278</v>
      </c>
      <c r="B261" s="56">
        <f t="shared" si="4"/>
        <v>2015</v>
      </c>
      <c r="C261" s="56" t="s">
        <v>11</v>
      </c>
      <c r="D261" s="57">
        <v>32</v>
      </c>
      <c r="E261" s="20" t="s">
        <v>56</v>
      </c>
    </row>
    <row r="262" spans="1:5" x14ac:dyDescent="0.35">
      <c r="A262" s="55">
        <v>42278</v>
      </c>
      <c r="B262" s="56">
        <f t="shared" si="4"/>
        <v>2015</v>
      </c>
      <c r="C262" s="56" t="s">
        <v>8</v>
      </c>
      <c r="D262" s="57">
        <v>106.59</v>
      </c>
      <c r="E262" s="20" t="s">
        <v>8</v>
      </c>
    </row>
    <row r="263" spans="1:5" x14ac:dyDescent="0.35">
      <c r="A263" s="55">
        <v>42278</v>
      </c>
      <c r="B263" s="56">
        <f t="shared" si="4"/>
        <v>2015</v>
      </c>
      <c r="C263" s="56" t="s">
        <v>12</v>
      </c>
      <c r="D263" s="57">
        <v>4</v>
      </c>
      <c r="E263" s="20" t="s">
        <v>12</v>
      </c>
    </row>
    <row r="264" spans="1:5" x14ac:dyDescent="0.35">
      <c r="A264" s="55">
        <v>42278</v>
      </c>
      <c r="B264" s="56">
        <f t="shared" si="4"/>
        <v>2015</v>
      </c>
      <c r="C264" s="56" t="s">
        <v>50</v>
      </c>
      <c r="D264" s="57">
        <v>6</v>
      </c>
      <c r="E264" s="20" t="s">
        <v>50</v>
      </c>
    </row>
    <row r="265" spans="1:5" x14ac:dyDescent="0.35">
      <c r="A265" s="55">
        <v>42278</v>
      </c>
      <c r="B265" s="56">
        <f t="shared" si="4"/>
        <v>2015</v>
      </c>
      <c r="C265" s="56" t="s">
        <v>51</v>
      </c>
      <c r="D265" s="58">
        <v>17.600000000000001</v>
      </c>
      <c r="E265" s="56" t="s">
        <v>51</v>
      </c>
    </row>
    <row r="266" spans="1:5" x14ac:dyDescent="0.35">
      <c r="A266" s="55">
        <v>42309</v>
      </c>
      <c r="B266" s="56">
        <f t="shared" si="4"/>
        <v>2015</v>
      </c>
      <c r="C266" s="56" t="s">
        <v>2</v>
      </c>
      <c r="D266" s="57">
        <v>64</v>
      </c>
      <c r="E266" s="20" t="s">
        <v>55</v>
      </c>
    </row>
    <row r="267" spans="1:5" x14ac:dyDescent="0.35">
      <c r="A267" s="55">
        <v>42309</v>
      </c>
      <c r="B267" s="56">
        <f t="shared" si="4"/>
        <v>2015</v>
      </c>
      <c r="C267" s="56" t="s">
        <v>7</v>
      </c>
      <c r="D267" s="57">
        <v>55</v>
      </c>
      <c r="E267" s="20" t="s">
        <v>56</v>
      </c>
    </row>
    <row r="268" spans="1:5" x14ac:dyDescent="0.35">
      <c r="A268" s="55">
        <v>42309</v>
      </c>
      <c r="B268" s="56">
        <f t="shared" si="4"/>
        <v>2015</v>
      </c>
      <c r="C268" s="56" t="s">
        <v>4</v>
      </c>
      <c r="D268" s="57">
        <v>28</v>
      </c>
      <c r="E268" s="20" t="s">
        <v>55</v>
      </c>
    </row>
    <row r="269" spans="1:5" x14ac:dyDescent="0.35">
      <c r="A269" s="55">
        <v>42309</v>
      </c>
      <c r="B269" s="56">
        <f t="shared" si="4"/>
        <v>2015</v>
      </c>
      <c r="C269" s="56" t="s">
        <v>9</v>
      </c>
      <c r="D269" s="57">
        <v>16</v>
      </c>
      <c r="E269" s="20" t="s">
        <v>56</v>
      </c>
    </row>
    <row r="270" spans="1:5" x14ac:dyDescent="0.35">
      <c r="A270" s="55">
        <v>42309</v>
      </c>
      <c r="B270" s="56">
        <f t="shared" si="4"/>
        <v>2015</v>
      </c>
      <c r="C270" s="56" t="s">
        <v>3</v>
      </c>
      <c r="D270" s="57">
        <v>40</v>
      </c>
      <c r="E270" s="20" t="s">
        <v>55</v>
      </c>
    </row>
    <row r="271" spans="1:5" x14ac:dyDescent="0.35">
      <c r="A271" s="55">
        <v>42309</v>
      </c>
      <c r="B271" s="56">
        <f t="shared" si="4"/>
        <v>2015</v>
      </c>
      <c r="C271" s="56" t="s">
        <v>10</v>
      </c>
      <c r="D271" s="57">
        <v>11</v>
      </c>
      <c r="E271" s="20" t="s">
        <v>56</v>
      </c>
    </row>
    <row r="272" spans="1:5" x14ac:dyDescent="0.35">
      <c r="A272" s="55">
        <v>42309</v>
      </c>
      <c r="B272" s="56">
        <f t="shared" si="4"/>
        <v>2015</v>
      </c>
      <c r="C272" s="56" t="s">
        <v>6</v>
      </c>
      <c r="D272" s="57">
        <v>63</v>
      </c>
      <c r="E272" s="20" t="s">
        <v>55</v>
      </c>
    </row>
    <row r="273" spans="1:5" x14ac:dyDescent="0.35">
      <c r="A273" s="55">
        <v>42309</v>
      </c>
      <c r="B273" s="56">
        <f t="shared" si="4"/>
        <v>2015</v>
      </c>
      <c r="C273" s="56" t="s">
        <v>11</v>
      </c>
      <c r="D273" s="57">
        <v>34</v>
      </c>
      <c r="E273" s="20" t="s">
        <v>56</v>
      </c>
    </row>
    <row r="274" spans="1:5" x14ac:dyDescent="0.35">
      <c r="A274" s="55">
        <v>42309</v>
      </c>
      <c r="B274" s="56">
        <f t="shared" si="4"/>
        <v>2015</v>
      </c>
      <c r="C274" s="56" t="s">
        <v>8</v>
      </c>
      <c r="D274" s="57">
        <v>99.52</v>
      </c>
      <c r="E274" s="20" t="s">
        <v>8</v>
      </c>
    </row>
    <row r="275" spans="1:5" x14ac:dyDescent="0.35">
      <c r="A275" s="55">
        <v>42309</v>
      </c>
      <c r="B275" s="56">
        <f t="shared" si="4"/>
        <v>2015</v>
      </c>
      <c r="C275" s="56" t="s">
        <v>12</v>
      </c>
      <c r="D275" s="57">
        <v>4</v>
      </c>
      <c r="E275" s="20" t="s">
        <v>12</v>
      </c>
    </row>
    <row r="276" spans="1:5" x14ac:dyDescent="0.35">
      <c r="A276" s="55">
        <v>42309</v>
      </c>
      <c r="B276" s="56">
        <f t="shared" si="4"/>
        <v>2015</v>
      </c>
      <c r="C276" s="56" t="s">
        <v>50</v>
      </c>
      <c r="D276" s="57">
        <v>5</v>
      </c>
      <c r="E276" s="20" t="s">
        <v>50</v>
      </c>
    </row>
    <row r="277" spans="1:5" x14ac:dyDescent="0.35">
      <c r="A277" s="55">
        <v>42309</v>
      </c>
      <c r="B277" s="56">
        <f t="shared" si="4"/>
        <v>2015</v>
      </c>
      <c r="C277" s="56" t="s">
        <v>51</v>
      </c>
      <c r="D277" s="58">
        <v>16.98</v>
      </c>
      <c r="E277" s="56" t="s">
        <v>51</v>
      </c>
    </row>
    <row r="278" spans="1:5" x14ac:dyDescent="0.35">
      <c r="A278" s="55">
        <v>42339</v>
      </c>
      <c r="B278" s="56">
        <f t="shared" si="4"/>
        <v>2015</v>
      </c>
      <c r="C278" s="56" t="s">
        <v>2</v>
      </c>
      <c r="D278" s="57">
        <v>69</v>
      </c>
      <c r="E278" s="20" t="s">
        <v>55</v>
      </c>
    </row>
    <row r="279" spans="1:5" x14ac:dyDescent="0.35">
      <c r="A279" s="55">
        <v>42339</v>
      </c>
      <c r="B279" s="56">
        <f t="shared" si="4"/>
        <v>2015</v>
      </c>
      <c r="C279" s="56" t="s">
        <v>7</v>
      </c>
      <c r="D279" s="57">
        <v>48</v>
      </c>
      <c r="E279" s="20" t="s">
        <v>56</v>
      </c>
    </row>
    <row r="280" spans="1:5" x14ac:dyDescent="0.35">
      <c r="A280" s="55">
        <v>42339</v>
      </c>
      <c r="B280" s="56">
        <f t="shared" si="4"/>
        <v>2015</v>
      </c>
      <c r="C280" s="56" t="s">
        <v>4</v>
      </c>
      <c r="D280" s="57">
        <v>36</v>
      </c>
      <c r="E280" s="20" t="s">
        <v>55</v>
      </c>
    </row>
    <row r="281" spans="1:5" x14ac:dyDescent="0.35">
      <c r="A281" s="55">
        <v>42339</v>
      </c>
      <c r="B281" s="56">
        <f t="shared" si="4"/>
        <v>2015</v>
      </c>
      <c r="C281" s="56" t="s">
        <v>9</v>
      </c>
      <c r="D281" s="57">
        <v>19</v>
      </c>
      <c r="E281" s="20" t="s">
        <v>56</v>
      </c>
    </row>
    <row r="282" spans="1:5" x14ac:dyDescent="0.35">
      <c r="A282" s="55">
        <v>42339</v>
      </c>
      <c r="B282" s="56">
        <f t="shared" si="4"/>
        <v>2015</v>
      </c>
      <c r="C282" s="56" t="s">
        <v>3</v>
      </c>
      <c r="D282" s="57">
        <v>50</v>
      </c>
      <c r="E282" s="20" t="s">
        <v>55</v>
      </c>
    </row>
    <row r="283" spans="1:5" x14ac:dyDescent="0.35">
      <c r="A283" s="55">
        <v>42339</v>
      </c>
      <c r="B283" s="56">
        <f t="shared" si="4"/>
        <v>2015</v>
      </c>
      <c r="C283" s="56" t="s">
        <v>10</v>
      </c>
      <c r="D283" s="57">
        <v>13</v>
      </c>
      <c r="E283" s="20" t="s">
        <v>56</v>
      </c>
    </row>
    <row r="284" spans="1:5" x14ac:dyDescent="0.35">
      <c r="A284" s="55">
        <v>42339</v>
      </c>
      <c r="B284" s="56">
        <f t="shared" si="4"/>
        <v>2015</v>
      </c>
      <c r="C284" s="56" t="s">
        <v>6</v>
      </c>
      <c r="D284" s="57">
        <v>60</v>
      </c>
      <c r="E284" s="20" t="s">
        <v>55</v>
      </c>
    </row>
    <row r="285" spans="1:5" x14ac:dyDescent="0.35">
      <c r="A285" s="55">
        <v>42339</v>
      </c>
      <c r="B285" s="56">
        <f t="shared" si="4"/>
        <v>2015</v>
      </c>
      <c r="C285" s="56" t="s">
        <v>11</v>
      </c>
      <c r="D285" s="57">
        <v>31</v>
      </c>
      <c r="E285" s="20" t="s">
        <v>56</v>
      </c>
    </row>
    <row r="286" spans="1:5" x14ac:dyDescent="0.35">
      <c r="A286" s="55">
        <v>42339</v>
      </c>
      <c r="B286" s="56">
        <f t="shared" si="4"/>
        <v>2015</v>
      </c>
      <c r="C286" s="56" t="s">
        <v>8</v>
      </c>
      <c r="D286" s="57">
        <v>101.06</v>
      </c>
      <c r="E286" s="20" t="s">
        <v>8</v>
      </c>
    </row>
    <row r="287" spans="1:5" x14ac:dyDescent="0.35">
      <c r="A287" s="55">
        <v>42339</v>
      </c>
      <c r="B287" s="56">
        <f t="shared" si="4"/>
        <v>2015</v>
      </c>
      <c r="C287" s="56" t="s">
        <v>12</v>
      </c>
      <c r="D287" s="57">
        <v>3</v>
      </c>
      <c r="E287" s="20" t="s">
        <v>12</v>
      </c>
    </row>
    <row r="288" spans="1:5" x14ac:dyDescent="0.35">
      <c r="A288" s="55">
        <v>42339</v>
      </c>
      <c r="B288" s="56">
        <f t="shared" si="4"/>
        <v>2015</v>
      </c>
      <c r="C288" s="56" t="s">
        <v>50</v>
      </c>
      <c r="D288" s="57">
        <v>6</v>
      </c>
      <c r="E288" s="20" t="s">
        <v>50</v>
      </c>
    </row>
    <row r="289" spans="1:5" x14ac:dyDescent="0.35">
      <c r="A289" s="55">
        <v>42339</v>
      </c>
      <c r="B289" s="56">
        <f t="shared" si="4"/>
        <v>2015</v>
      </c>
      <c r="C289" s="56" t="s">
        <v>51</v>
      </c>
      <c r="D289" s="58">
        <v>18.54</v>
      </c>
      <c r="E289" s="56" t="s">
        <v>51</v>
      </c>
    </row>
    <row r="290" spans="1:5" x14ac:dyDescent="0.35">
      <c r="A290" s="55">
        <v>42370</v>
      </c>
      <c r="B290" s="56">
        <f t="shared" si="4"/>
        <v>2016</v>
      </c>
      <c r="C290" s="56" t="s">
        <v>2</v>
      </c>
      <c r="D290" s="57">
        <v>57</v>
      </c>
      <c r="E290" s="20" t="s">
        <v>55</v>
      </c>
    </row>
    <row r="291" spans="1:5" x14ac:dyDescent="0.35">
      <c r="A291" s="55">
        <v>42370</v>
      </c>
      <c r="B291" s="56">
        <f t="shared" si="4"/>
        <v>2016</v>
      </c>
      <c r="C291" s="56" t="s">
        <v>7</v>
      </c>
      <c r="D291" s="57">
        <v>47</v>
      </c>
      <c r="E291" s="20" t="s">
        <v>56</v>
      </c>
    </row>
    <row r="292" spans="1:5" x14ac:dyDescent="0.35">
      <c r="A292" s="55">
        <v>42370</v>
      </c>
      <c r="B292" s="56">
        <f t="shared" si="4"/>
        <v>2016</v>
      </c>
      <c r="C292" s="56" t="s">
        <v>4</v>
      </c>
      <c r="D292" s="57">
        <v>35</v>
      </c>
      <c r="E292" s="20" t="s">
        <v>55</v>
      </c>
    </row>
    <row r="293" spans="1:5" x14ac:dyDescent="0.35">
      <c r="A293" s="55">
        <v>42370</v>
      </c>
      <c r="B293" s="56">
        <f t="shared" si="4"/>
        <v>2016</v>
      </c>
      <c r="C293" s="56" t="s">
        <v>9</v>
      </c>
      <c r="D293" s="57">
        <v>17</v>
      </c>
      <c r="E293" s="20" t="s">
        <v>56</v>
      </c>
    </row>
    <row r="294" spans="1:5" x14ac:dyDescent="0.35">
      <c r="A294" s="55">
        <v>42370</v>
      </c>
      <c r="B294" s="56">
        <f t="shared" si="4"/>
        <v>2016</v>
      </c>
      <c r="C294" s="56" t="s">
        <v>3</v>
      </c>
      <c r="D294" s="57">
        <v>41</v>
      </c>
      <c r="E294" s="20" t="s">
        <v>55</v>
      </c>
    </row>
    <row r="295" spans="1:5" x14ac:dyDescent="0.35">
      <c r="A295" s="55">
        <v>42370</v>
      </c>
      <c r="B295" s="56">
        <f t="shared" si="4"/>
        <v>2016</v>
      </c>
      <c r="C295" s="56" t="s">
        <v>10</v>
      </c>
      <c r="D295" s="57">
        <v>11</v>
      </c>
      <c r="E295" s="20" t="s">
        <v>56</v>
      </c>
    </row>
    <row r="296" spans="1:5" x14ac:dyDescent="0.35">
      <c r="A296" s="55">
        <v>42370</v>
      </c>
      <c r="B296" s="56">
        <f t="shared" si="4"/>
        <v>2016</v>
      </c>
      <c r="C296" s="56" t="s">
        <v>6</v>
      </c>
      <c r="D296" s="57">
        <v>61</v>
      </c>
      <c r="E296" s="20" t="s">
        <v>55</v>
      </c>
    </row>
    <row r="297" spans="1:5" x14ac:dyDescent="0.35">
      <c r="A297" s="55">
        <v>42370</v>
      </c>
      <c r="B297" s="56">
        <f t="shared" si="4"/>
        <v>2016</v>
      </c>
      <c r="C297" s="56" t="s">
        <v>11</v>
      </c>
      <c r="D297" s="57">
        <v>35</v>
      </c>
      <c r="E297" s="20" t="s">
        <v>56</v>
      </c>
    </row>
    <row r="298" spans="1:5" x14ac:dyDescent="0.35">
      <c r="A298" s="55">
        <v>42370</v>
      </c>
      <c r="B298" s="56">
        <f t="shared" si="4"/>
        <v>2016</v>
      </c>
      <c r="C298" s="56" t="s">
        <v>8</v>
      </c>
      <c r="D298" s="57">
        <v>88.16</v>
      </c>
      <c r="E298" s="20" t="s">
        <v>8</v>
      </c>
    </row>
    <row r="299" spans="1:5" x14ac:dyDescent="0.35">
      <c r="A299" s="55">
        <v>42370</v>
      </c>
      <c r="B299" s="56">
        <f t="shared" si="4"/>
        <v>2016</v>
      </c>
      <c r="C299" s="56" t="s">
        <v>12</v>
      </c>
      <c r="D299" s="57">
        <v>3</v>
      </c>
      <c r="E299" s="20" t="s">
        <v>12</v>
      </c>
    </row>
    <row r="300" spans="1:5" x14ac:dyDescent="0.35">
      <c r="A300" s="55">
        <v>42370</v>
      </c>
      <c r="B300" s="56">
        <f t="shared" si="4"/>
        <v>2016</v>
      </c>
      <c r="C300" s="56" t="s">
        <v>50</v>
      </c>
      <c r="D300" s="57">
        <v>3</v>
      </c>
      <c r="E300" s="20" t="s">
        <v>50</v>
      </c>
    </row>
    <row r="301" spans="1:5" x14ac:dyDescent="0.35">
      <c r="A301" s="55">
        <v>42370</v>
      </c>
      <c r="B301" s="56">
        <f t="shared" si="4"/>
        <v>2016</v>
      </c>
      <c r="C301" s="56" t="s">
        <v>51</v>
      </c>
      <c r="D301" s="58">
        <v>16.8</v>
      </c>
      <c r="E301" s="56" t="s">
        <v>51</v>
      </c>
    </row>
    <row r="302" spans="1:5" x14ac:dyDescent="0.35">
      <c r="A302" s="55">
        <v>42401</v>
      </c>
      <c r="B302" s="56">
        <f t="shared" si="4"/>
        <v>2016</v>
      </c>
      <c r="C302" s="56" t="s">
        <v>2</v>
      </c>
      <c r="D302" s="57">
        <v>72</v>
      </c>
      <c r="E302" s="20" t="s">
        <v>55</v>
      </c>
    </row>
    <row r="303" spans="1:5" x14ac:dyDescent="0.35">
      <c r="A303" s="55">
        <v>42401</v>
      </c>
      <c r="B303" s="56">
        <f t="shared" si="4"/>
        <v>2016</v>
      </c>
      <c r="C303" s="56" t="s">
        <v>7</v>
      </c>
      <c r="D303" s="57">
        <v>57</v>
      </c>
      <c r="E303" s="20" t="s">
        <v>56</v>
      </c>
    </row>
    <row r="304" spans="1:5" x14ac:dyDescent="0.35">
      <c r="A304" s="55">
        <v>42401</v>
      </c>
      <c r="B304" s="56">
        <f t="shared" si="4"/>
        <v>2016</v>
      </c>
      <c r="C304" s="56" t="s">
        <v>4</v>
      </c>
      <c r="D304" s="57">
        <v>29</v>
      </c>
      <c r="E304" s="20" t="s">
        <v>55</v>
      </c>
    </row>
    <row r="305" spans="1:5" x14ac:dyDescent="0.35">
      <c r="A305" s="55">
        <v>42401</v>
      </c>
      <c r="B305" s="56">
        <f t="shared" si="4"/>
        <v>2016</v>
      </c>
      <c r="C305" s="56" t="s">
        <v>9</v>
      </c>
      <c r="D305" s="57">
        <v>16</v>
      </c>
      <c r="E305" s="20" t="s">
        <v>56</v>
      </c>
    </row>
    <row r="306" spans="1:5" x14ac:dyDescent="0.35">
      <c r="A306" s="55">
        <v>42401</v>
      </c>
      <c r="B306" s="56">
        <f t="shared" si="4"/>
        <v>2016</v>
      </c>
      <c r="C306" s="56" t="s">
        <v>3</v>
      </c>
      <c r="D306" s="57">
        <v>49</v>
      </c>
      <c r="E306" s="20" t="s">
        <v>55</v>
      </c>
    </row>
    <row r="307" spans="1:5" x14ac:dyDescent="0.35">
      <c r="A307" s="55">
        <v>42401</v>
      </c>
      <c r="B307" s="56">
        <f t="shared" si="4"/>
        <v>2016</v>
      </c>
      <c r="C307" s="56" t="s">
        <v>10</v>
      </c>
      <c r="D307" s="57">
        <v>19</v>
      </c>
      <c r="E307" s="20" t="s">
        <v>56</v>
      </c>
    </row>
    <row r="308" spans="1:5" x14ac:dyDescent="0.35">
      <c r="A308" s="55">
        <v>42401</v>
      </c>
      <c r="B308" s="56">
        <f t="shared" si="4"/>
        <v>2016</v>
      </c>
      <c r="C308" s="56" t="s">
        <v>6</v>
      </c>
      <c r="D308" s="57">
        <v>57</v>
      </c>
      <c r="E308" s="20" t="s">
        <v>55</v>
      </c>
    </row>
    <row r="309" spans="1:5" x14ac:dyDescent="0.35">
      <c r="A309" s="55">
        <v>42401</v>
      </c>
      <c r="B309" s="56">
        <f t="shared" si="4"/>
        <v>2016</v>
      </c>
      <c r="C309" s="56" t="s">
        <v>11</v>
      </c>
      <c r="D309" s="57">
        <v>35</v>
      </c>
      <c r="E309" s="20" t="s">
        <v>56</v>
      </c>
    </row>
    <row r="310" spans="1:5" x14ac:dyDescent="0.35">
      <c r="A310" s="55">
        <v>42401</v>
      </c>
      <c r="B310" s="56">
        <f t="shared" si="4"/>
        <v>2016</v>
      </c>
      <c r="C310" s="56" t="s">
        <v>8</v>
      </c>
      <c r="D310" s="57">
        <v>96.86</v>
      </c>
      <c r="E310" s="20" t="s">
        <v>8</v>
      </c>
    </row>
    <row r="311" spans="1:5" x14ac:dyDescent="0.35">
      <c r="A311" s="55">
        <v>42401</v>
      </c>
      <c r="B311" s="56">
        <f t="shared" si="4"/>
        <v>2016</v>
      </c>
      <c r="C311" s="56" t="s">
        <v>12</v>
      </c>
      <c r="D311" s="57">
        <v>4</v>
      </c>
      <c r="E311" s="20" t="s">
        <v>12</v>
      </c>
    </row>
    <row r="312" spans="1:5" x14ac:dyDescent="0.35">
      <c r="A312" s="55">
        <v>42401</v>
      </c>
      <c r="B312" s="56">
        <f t="shared" si="4"/>
        <v>2016</v>
      </c>
      <c r="C312" s="56" t="s">
        <v>50</v>
      </c>
      <c r="D312" s="57">
        <v>4</v>
      </c>
      <c r="E312" s="20" t="s">
        <v>50</v>
      </c>
    </row>
    <row r="313" spans="1:5" x14ac:dyDescent="0.35">
      <c r="A313" s="55">
        <v>42401</v>
      </c>
      <c r="B313" s="56">
        <f t="shared" si="4"/>
        <v>2016</v>
      </c>
      <c r="C313" s="56" t="s">
        <v>51</v>
      </c>
      <c r="D313" s="58">
        <v>17.899999999999999</v>
      </c>
      <c r="E313" s="56" t="s">
        <v>51</v>
      </c>
    </row>
    <row r="314" spans="1:5" x14ac:dyDescent="0.35">
      <c r="A314" s="55">
        <v>42430</v>
      </c>
      <c r="B314" s="56">
        <f t="shared" si="4"/>
        <v>2016</v>
      </c>
      <c r="C314" s="56" t="s">
        <v>2</v>
      </c>
      <c r="D314" s="57">
        <v>61</v>
      </c>
      <c r="E314" s="20" t="s">
        <v>55</v>
      </c>
    </row>
    <row r="315" spans="1:5" x14ac:dyDescent="0.35">
      <c r="A315" s="55">
        <v>42430</v>
      </c>
      <c r="B315" s="56">
        <f t="shared" si="4"/>
        <v>2016</v>
      </c>
      <c r="C315" s="56" t="s">
        <v>7</v>
      </c>
      <c r="D315" s="57">
        <v>52</v>
      </c>
      <c r="E315" s="20" t="s">
        <v>56</v>
      </c>
    </row>
    <row r="316" spans="1:5" x14ac:dyDescent="0.35">
      <c r="A316" s="55">
        <v>42430</v>
      </c>
      <c r="B316" s="56">
        <f t="shared" si="4"/>
        <v>2016</v>
      </c>
      <c r="C316" s="56" t="s">
        <v>4</v>
      </c>
      <c r="D316" s="57">
        <v>27</v>
      </c>
      <c r="E316" s="20" t="s">
        <v>55</v>
      </c>
    </row>
    <row r="317" spans="1:5" x14ac:dyDescent="0.35">
      <c r="A317" s="55">
        <v>42430</v>
      </c>
      <c r="B317" s="56">
        <f t="shared" si="4"/>
        <v>2016</v>
      </c>
      <c r="C317" s="56" t="s">
        <v>9</v>
      </c>
      <c r="D317" s="57">
        <v>13</v>
      </c>
      <c r="E317" s="20" t="s">
        <v>56</v>
      </c>
    </row>
    <row r="318" spans="1:5" x14ac:dyDescent="0.35">
      <c r="A318" s="55">
        <v>42430</v>
      </c>
      <c r="B318" s="56">
        <f t="shared" si="4"/>
        <v>2016</v>
      </c>
      <c r="C318" s="56" t="s">
        <v>3</v>
      </c>
      <c r="D318" s="57">
        <v>38</v>
      </c>
      <c r="E318" s="20" t="s">
        <v>55</v>
      </c>
    </row>
    <row r="319" spans="1:5" x14ac:dyDescent="0.35">
      <c r="A319" s="55">
        <v>42430</v>
      </c>
      <c r="B319" s="56">
        <f t="shared" si="4"/>
        <v>2016</v>
      </c>
      <c r="C319" s="56" t="s">
        <v>10</v>
      </c>
      <c r="D319" s="57">
        <v>17</v>
      </c>
      <c r="E319" s="20" t="s">
        <v>56</v>
      </c>
    </row>
    <row r="320" spans="1:5" x14ac:dyDescent="0.35">
      <c r="A320" s="55">
        <v>42430</v>
      </c>
      <c r="B320" s="56">
        <f t="shared" si="4"/>
        <v>2016</v>
      </c>
      <c r="C320" s="56" t="s">
        <v>6</v>
      </c>
      <c r="D320" s="57">
        <v>63</v>
      </c>
      <c r="E320" s="20" t="s">
        <v>55</v>
      </c>
    </row>
    <row r="321" spans="1:5" x14ac:dyDescent="0.35">
      <c r="A321" s="55">
        <v>42430</v>
      </c>
      <c r="B321" s="56">
        <f t="shared" si="4"/>
        <v>2016</v>
      </c>
      <c r="C321" s="56" t="s">
        <v>11</v>
      </c>
      <c r="D321" s="57">
        <v>31</v>
      </c>
      <c r="E321" s="20" t="s">
        <v>56</v>
      </c>
    </row>
    <row r="322" spans="1:5" x14ac:dyDescent="0.35">
      <c r="A322" s="55">
        <v>42430</v>
      </c>
      <c r="B322" s="56">
        <f t="shared" si="4"/>
        <v>2016</v>
      </c>
      <c r="C322" s="56" t="s">
        <v>8</v>
      </c>
      <c r="D322" s="57">
        <v>87.58</v>
      </c>
      <c r="E322" s="20" t="s">
        <v>8</v>
      </c>
    </row>
    <row r="323" spans="1:5" x14ac:dyDescent="0.35">
      <c r="A323" s="55">
        <v>42430</v>
      </c>
      <c r="B323" s="56">
        <f t="shared" ref="B323:B386" si="5">YEAR(A323)</f>
        <v>2016</v>
      </c>
      <c r="C323" s="56" t="s">
        <v>12</v>
      </c>
      <c r="D323" s="57">
        <v>4</v>
      </c>
      <c r="E323" s="20" t="s">
        <v>12</v>
      </c>
    </row>
    <row r="324" spans="1:5" x14ac:dyDescent="0.35">
      <c r="A324" s="55">
        <v>42430</v>
      </c>
      <c r="B324" s="56">
        <f t="shared" si="5"/>
        <v>2016</v>
      </c>
      <c r="C324" s="56" t="s">
        <v>50</v>
      </c>
      <c r="D324" s="57">
        <v>4</v>
      </c>
      <c r="E324" s="20" t="s">
        <v>50</v>
      </c>
    </row>
    <row r="325" spans="1:5" x14ac:dyDescent="0.35">
      <c r="A325" s="55">
        <v>42430</v>
      </c>
      <c r="B325" s="56">
        <f t="shared" si="5"/>
        <v>2016</v>
      </c>
      <c r="C325" s="56" t="s">
        <v>51</v>
      </c>
      <c r="D325" s="58">
        <v>16.490000000000002</v>
      </c>
      <c r="E325" s="56" t="s">
        <v>51</v>
      </c>
    </row>
    <row r="326" spans="1:5" x14ac:dyDescent="0.35">
      <c r="A326" s="55">
        <v>42461</v>
      </c>
      <c r="B326" s="56">
        <f t="shared" si="5"/>
        <v>2016</v>
      </c>
      <c r="C326" s="56" t="s">
        <v>2</v>
      </c>
      <c r="D326" s="57">
        <v>62</v>
      </c>
      <c r="E326" s="20" t="s">
        <v>55</v>
      </c>
    </row>
    <row r="327" spans="1:5" x14ac:dyDescent="0.35">
      <c r="A327" s="55">
        <v>42461</v>
      </c>
      <c r="B327" s="56">
        <f t="shared" si="5"/>
        <v>2016</v>
      </c>
      <c r="C327" s="56" t="s">
        <v>7</v>
      </c>
      <c r="D327" s="57">
        <v>48</v>
      </c>
      <c r="E327" s="20" t="s">
        <v>56</v>
      </c>
    </row>
    <row r="328" spans="1:5" x14ac:dyDescent="0.35">
      <c r="A328" s="55">
        <v>42461</v>
      </c>
      <c r="B328" s="56">
        <f t="shared" si="5"/>
        <v>2016</v>
      </c>
      <c r="C328" s="56" t="s">
        <v>4</v>
      </c>
      <c r="D328" s="57">
        <v>25</v>
      </c>
      <c r="E328" s="20" t="s">
        <v>55</v>
      </c>
    </row>
    <row r="329" spans="1:5" x14ac:dyDescent="0.35">
      <c r="A329" s="55">
        <v>42461</v>
      </c>
      <c r="B329" s="56">
        <f t="shared" si="5"/>
        <v>2016</v>
      </c>
      <c r="C329" s="56" t="s">
        <v>9</v>
      </c>
      <c r="D329" s="57">
        <v>20</v>
      </c>
      <c r="E329" s="20" t="s">
        <v>56</v>
      </c>
    </row>
    <row r="330" spans="1:5" x14ac:dyDescent="0.35">
      <c r="A330" s="55">
        <v>42461</v>
      </c>
      <c r="B330" s="56">
        <f t="shared" si="5"/>
        <v>2016</v>
      </c>
      <c r="C330" s="56" t="s">
        <v>3</v>
      </c>
      <c r="D330" s="57">
        <v>47</v>
      </c>
      <c r="E330" s="20" t="s">
        <v>55</v>
      </c>
    </row>
    <row r="331" spans="1:5" x14ac:dyDescent="0.35">
      <c r="A331" s="55">
        <v>42461</v>
      </c>
      <c r="B331" s="56">
        <f t="shared" si="5"/>
        <v>2016</v>
      </c>
      <c r="C331" s="56" t="s">
        <v>10</v>
      </c>
      <c r="D331" s="57">
        <v>11</v>
      </c>
      <c r="E331" s="20" t="s">
        <v>56</v>
      </c>
    </row>
    <row r="332" spans="1:5" x14ac:dyDescent="0.35">
      <c r="A332" s="55">
        <v>42461</v>
      </c>
      <c r="B332" s="56">
        <f t="shared" si="5"/>
        <v>2016</v>
      </c>
      <c r="C332" s="56" t="s">
        <v>6</v>
      </c>
      <c r="D332" s="57">
        <v>56</v>
      </c>
      <c r="E332" s="20" t="s">
        <v>55</v>
      </c>
    </row>
    <row r="333" spans="1:5" x14ac:dyDescent="0.35">
      <c r="A333" s="55">
        <v>42461</v>
      </c>
      <c r="B333" s="56">
        <f t="shared" si="5"/>
        <v>2016</v>
      </c>
      <c r="C333" s="56" t="s">
        <v>11</v>
      </c>
      <c r="D333" s="57">
        <v>30</v>
      </c>
      <c r="E333" s="20" t="s">
        <v>56</v>
      </c>
    </row>
    <row r="334" spans="1:5" x14ac:dyDescent="0.35">
      <c r="A334" s="55">
        <v>42461</v>
      </c>
      <c r="B334" s="56">
        <f t="shared" si="5"/>
        <v>2016</v>
      </c>
      <c r="C334" s="56" t="s">
        <v>8</v>
      </c>
      <c r="D334" s="57">
        <v>80.73</v>
      </c>
      <c r="E334" s="20" t="s">
        <v>8</v>
      </c>
    </row>
    <row r="335" spans="1:5" x14ac:dyDescent="0.35">
      <c r="A335" s="55">
        <v>42461</v>
      </c>
      <c r="B335" s="56">
        <f t="shared" si="5"/>
        <v>2016</v>
      </c>
      <c r="C335" s="56" t="s">
        <v>12</v>
      </c>
      <c r="D335" s="57">
        <v>3</v>
      </c>
      <c r="E335" s="20" t="s">
        <v>12</v>
      </c>
    </row>
    <row r="336" spans="1:5" x14ac:dyDescent="0.35">
      <c r="A336" s="55">
        <v>42461</v>
      </c>
      <c r="B336" s="56">
        <f t="shared" si="5"/>
        <v>2016</v>
      </c>
      <c r="C336" s="56" t="s">
        <v>50</v>
      </c>
      <c r="D336" s="57">
        <v>4</v>
      </c>
      <c r="E336" s="20" t="s">
        <v>50</v>
      </c>
    </row>
    <row r="337" spans="1:5" x14ac:dyDescent="0.35">
      <c r="A337" s="55">
        <v>42461</v>
      </c>
      <c r="B337" s="56">
        <f t="shared" si="5"/>
        <v>2016</v>
      </c>
      <c r="C337" s="56" t="s">
        <v>51</v>
      </c>
      <c r="D337" s="58">
        <v>16.54</v>
      </c>
      <c r="E337" s="56" t="s">
        <v>51</v>
      </c>
    </row>
    <row r="338" spans="1:5" x14ac:dyDescent="0.35">
      <c r="A338" s="55">
        <v>42491</v>
      </c>
      <c r="B338" s="56">
        <f t="shared" si="5"/>
        <v>2016</v>
      </c>
      <c r="C338" s="56" t="s">
        <v>2</v>
      </c>
      <c r="D338" s="57">
        <v>59</v>
      </c>
      <c r="E338" s="20" t="s">
        <v>55</v>
      </c>
    </row>
    <row r="339" spans="1:5" x14ac:dyDescent="0.35">
      <c r="A339" s="55">
        <v>42491</v>
      </c>
      <c r="B339" s="56">
        <f t="shared" si="5"/>
        <v>2016</v>
      </c>
      <c r="C339" s="56" t="s">
        <v>7</v>
      </c>
      <c r="D339" s="57">
        <v>58</v>
      </c>
      <c r="E339" s="20" t="s">
        <v>56</v>
      </c>
    </row>
    <row r="340" spans="1:5" x14ac:dyDescent="0.35">
      <c r="A340" s="55">
        <v>42491</v>
      </c>
      <c r="B340" s="56">
        <f t="shared" si="5"/>
        <v>2016</v>
      </c>
      <c r="C340" s="56" t="s">
        <v>4</v>
      </c>
      <c r="D340" s="57">
        <v>32</v>
      </c>
      <c r="E340" s="20" t="s">
        <v>55</v>
      </c>
    </row>
    <row r="341" spans="1:5" x14ac:dyDescent="0.35">
      <c r="A341" s="55">
        <v>42491</v>
      </c>
      <c r="B341" s="56">
        <f t="shared" si="5"/>
        <v>2016</v>
      </c>
      <c r="C341" s="56" t="s">
        <v>9</v>
      </c>
      <c r="D341" s="57">
        <v>13</v>
      </c>
      <c r="E341" s="20" t="s">
        <v>56</v>
      </c>
    </row>
    <row r="342" spans="1:5" x14ac:dyDescent="0.35">
      <c r="A342" s="55">
        <v>42491</v>
      </c>
      <c r="B342" s="56">
        <f t="shared" si="5"/>
        <v>2016</v>
      </c>
      <c r="C342" s="56" t="s">
        <v>3</v>
      </c>
      <c r="D342" s="57">
        <v>41</v>
      </c>
      <c r="E342" s="20" t="s">
        <v>55</v>
      </c>
    </row>
    <row r="343" spans="1:5" x14ac:dyDescent="0.35">
      <c r="A343" s="55">
        <v>42491</v>
      </c>
      <c r="B343" s="56">
        <f t="shared" si="5"/>
        <v>2016</v>
      </c>
      <c r="C343" s="56" t="s">
        <v>10</v>
      </c>
      <c r="D343" s="57">
        <v>13</v>
      </c>
      <c r="E343" s="20" t="s">
        <v>56</v>
      </c>
    </row>
    <row r="344" spans="1:5" x14ac:dyDescent="0.35">
      <c r="A344" s="55">
        <v>42491</v>
      </c>
      <c r="B344" s="56">
        <f t="shared" si="5"/>
        <v>2016</v>
      </c>
      <c r="C344" s="56" t="s">
        <v>6</v>
      </c>
      <c r="D344" s="57">
        <v>54</v>
      </c>
      <c r="E344" s="20" t="s">
        <v>55</v>
      </c>
    </row>
    <row r="345" spans="1:5" x14ac:dyDescent="0.35">
      <c r="A345" s="55">
        <v>42491</v>
      </c>
      <c r="B345" s="56">
        <f t="shared" si="5"/>
        <v>2016</v>
      </c>
      <c r="C345" s="56" t="s">
        <v>11</v>
      </c>
      <c r="D345" s="57">
        <v>35</v>
      </c>
      <c r="E345" s="20" t="s">
        <v>56</v>
      </c>
    </row>
    <row r="346" spans="1:5" x14ac:dyDescent="0.35">
      <c r="A346" s="55">
        <v>42491</v>
      </c>
      <c r="B346" s="56">
        <f t="shared" si="5"/>
        <v>2016</v>
      </c>
      <c r="C346" s="56" t="s">
        <v>8</v>
      </c>
      <c r="D346" s="57">
        <v>88.449999999999989</v>
      </c>
      <c r="E346" s="20" t="s">
        <v>8</v>
      </c>
    </row>
    <row r="347" spans="1:5" x14ac:dyDescent="0.35">
      <c r="A347" s="55">
        <v>42491</v>
      </c>
      <c r="B347" s="56">
        <f t="shared" si="5"/>
        <v>2016</v>
      </c>
      <c r="C347" s="56" t="s">
        <v>12</v>
      </c>
      <c r="D347" s="57">
        <v>4</v>
      </c>
      <c r="E347" s="20" t="s">
        <v>12</v>
      </c>
    </row>
    <row r="348" spans="1:5" x14ac:dyDescent="0.35">
      <c r="A348" s="55">
        <v>42491</v>
      </c>
      <c r="B348" s="56">
        <f t="shared" si="5"/>
        <v>2016</v>
      </c>
      <c r="C348" s="56" t="s">
        <v>50</v>
      </c>
      <c r="D348" s="57">
        <v>5</v>
      </c>
      <c r="E348" s="20" t="s">
        <v>50</v>
      </c>
    </row>
    <row r="349" spans="1:5" x14ac:dyDescent="0.35">
      <c r="A349" s="55">
        <v>42491</v>
      </c>
      <c r="B349" s="56">
        <f t="shared" si="5"/>
        <v>2016</v>
      </c>
      <c r="C349" s="56" t="s">
        <v>51</v>
      </c>
      <c r="D349" s="58">
        <v>16.05</v>
      </c>
      <c r="E349" s="56" t="s">
        <v>51</v>
      </c>
    </row>
    <row r="350" spans="1:5" x14ac:dyDescent="0.35">
      <c r="A350" s="55">
        <v>42522</v>
      </c>
      <c r="B350" s="56">
        <f t="shared" si="5"/>
        <v>2016</v>
      </c>
      <c r="C350" s="56" t="s">
        <v>2</v>
      </c>
      <c r="D350" s="57">
        <v>67</v>
      </c>
      <c r="E350" s="20" t="s">
        <v>55</v>
      </c>
    </row>
    <row r="351" spans="1:5" x14ac:dyDescent="0.35">
      <c r="A351" s="55">
        <v>42522</v>
      </c>
      <c r="B351" s="56">
        <f t="shared" si="5"/>
        <v>2016</v>
      </c>
      <c r="C351" s="56" t="s">
        <v>7</v>
      </c>
      <c r="D351" s="57">
        <v>56</v>
      </c>
      <c r="E351" s="20" t="s">
        <v>56</v>
      </c>
    </row>
    <row r="352" spans="1:5" x14ac:dyDescent="0.35">
      <c r="A352" s="55">
        <v>42522</v>
      </c>
      <c r="B352" s="56">
        <f t="shared" si="5"/>
        <v>2016</v>
      </c>
      <c r="C352" s="56" t="s">
        <v>4</v>
      </c>
      <c r="D352" s="57">
        <v>31</v>
      </c>
      <c r="E352" s="20" t="s">
        <v>55</v>
      </c>
    </row>
    <row r="353" spans="1:5" x14ac:dyDescent="0.35">
      <c r="A353" s="55">
        <v>42522</v>
      </c>
      <c r="B353" s="56">
        <f t="shared" si="5"/>
        <v>2016</v>
      </c>
      <c r="C353" s="56" t="s">
        <v>9</v>
      </c>
      <c r="D353" s="57">
        <v>18</v>
      </c>
      <c r="E353" s="20" t="s">
        <v>56</v>
      </c>
    </row>
    <row r="354" spans="1:5" x14ac:dyDescent="0.35">
      <c r="A354" s="55">
        <v>42522</v>
      </c>
      <c r="B354" s="56">
        <f t="shared" si="5"/>
        <v>2016</v>
      </c>
      <c r="C354" s="56" t="s">
        <v>3</v>
      </c>
      <c r="D354" s="57">
        <v>47</v>
      </c>
      <c r="E354" s="20" t="s">
        <v>55</v>
      </c>
    </row>
    <row r="355" spans="1:5" x14ac:dyDescent="0.35">
      <c r="A355" s="55">
        <v>42522</v>
      </c>
      <c r="B355" s="56">
        <f t="shared" si="5"/>
        <v>2016</v>
      </c>
      <c r="C355" s="56" t="s">
        <v>10</v>
      </c>
      <c r="D355" s="57">
        <v>17</v>
      </c>
      <c r="E355" s="20" t="s">
        <v>56</v>
      </c>
    </row>
    <row r="356" spans="1:5" x14ac:dyDescent="0.35">
      <c r="A356" s="55">
        <v>42522</v>
      </c>
      <c r="B356" s="56">
        <f t="shared" si="5"/>
        <v>2016</v>
      </c>
      <c r="C356" s="56" t="s">
        <v>6</v>
      </c>
      <c r="D356" s="57">
        <v>66</v>
      </c>
      <c r="E356" s="20" t="s">
        <v>55</v>
      </c>
    </row>
    <row r="357" spans="1:5" x14ac:dyDescent="0.35">
      <c r="A357" s="55">
        <v>42522</v>
      </c>
      <c r="B357" s="56">
        <f t="shared" si="5"/>
        <v>2016</v>
      </c>
      <c r="C357" s="56" t="s">
        <v>11</v>
      </c>
      <c r="D357" s="57">
        <v>30</v>
      </c>
      <c r="E357" s="20" t="s">
        <v>56</v>
      </c>
    </row>
    <row r="358" spans="1:5" x14ac:dyDescent="0.35">
      <c r="A358" s="55">
        <v>42522</v>
      </c>
      <c r="B358" s="56">
        <f t="shared" si="5"/>
        <v>2016</v>
      </c>
      <c r="C358" s="56" t="s">
        <v>8</v>
      </c>
      <c r="D358" s="57">
        <v>102.92</v>
      </c>
      <c r="E358" s="20" t="s">
        <v>8</v>
      </c>
    </row>
    <row r="359" spans="1:5" x14ac:dyDescent="0.35">
      <c r="A359" s="55">
        <v>42522</v>
      </c>
      <c r="B359" s="56">
        <f t="shared" si="5"/>
        <v>2016</v>
      </c>
      <c r="C359" s="56" t="s">
        <v>12</v>
      </c>
      <c r="D359" s="57">
        <v>3</v>
      </c>
      <c r="E359" s="20" t="s">
        <v>12</v>
      </c>
    </row>
    <row r="360" spans="1:5" x14ac:dyDescent="0.35">
      <c r="A360" s="55">
        <v>42522</v>
      </c>
      <c r="B360" s="56">
        <f t="shared" si="5"/>
        <v>2016</v>
      </c>
      <c r="C360" s="56" t="s">
        <v>50</v>
      </c>
      <c r="D360" s="57">
        <v>4</v>
      </c>
      <c r="E360" s="20" t="s">
        <v>50</v>
      </c>
    </row>
    <row r="361" spans="1:5" x14ac:dyDescent="0.35">
      <c r="A361" s="55">
        <v>42522</v>
      </c>
      <c r="B361" s="56">
        <f t="shared" si="5"/>
        <v>2016</v>
      </c>
      <c r="C361" s="56" t="s">
        <v>51</v>
      </c>
      <c r="D361" s="58">
        <v>18.360000000000003</v>
      </c>
      <c r="E361" s="56" t="s">
        <v>51</v>
      </c>
    </row>
    <row r="362" spans="1:5" x14ac:dyDescent="0.35">
      <c r="A362" s="55">
        <v>42552</v>
      </c>
      <c r="B362" s="56">
        <f t="shared" si="5"/>
        <v>2016</v>
      </c>
      <c r="C362" s="56" t="s">
        <v>2</v>
      </c>
      <c r="D362" s="57">
        <v>70</v>
      </c>
      <c r="E362" s="20" t="s">
        <v>55</v>
      </c>
    </row>
    <row r="363" spans="1:5" x14ac:dyDescent="0.35">
      <c r="A363" s="55">
        <v>42552</v>
      </c>
      <c r="B363" s="56">
        <f t="shared" si="5"/>
        <v>2016</v>
      </c>
      <c r="C363" s="56" t="s">
        <v>7</v>
      </c>
      <c r="D363" s="57">
        <v>52</v>
      </c>
      <c r="E363" s="20" t="s">
        <v>56</v>
      </c>
    </row>
    <row r="364" spans="1:5" x14ac:dyDescent="0.35">
      <c r="A364" s="55">
        <v>42552</v>
      </c>
      <c r="B364" s="56">
        <f t="shared" si="5"/>
        <v>2016</v>
      </c>
      <c r="C364" s="56" t="s">
        <v>4</v>
      </c>
      <c r="D364" s="57">
        <v>37</v>
      </c>
      <c r="E364" s="20" t="s">
        <v>55</v>
      </c>
    </row>
    <row r="365" spans="1:5" x14ac:dyDescent="0.35">
      <c r="A365" s="55">
        <v>42552</v>
      </c>
      <c r="B365" s="56">
        <f t="shared" si="5"/>
        <v>2016</v>
      </c>
      <c r="C365" s="56" t="s">
        <v>9</v>
      </c>
      <c r="D365" s="57">
        <v>10</v>
      </c>
      <c r="E365" s="20" t="s">
        <v>56</v>
      </c>
    </row>
    <row r="366" spans="1:5" x14ac:dyDescent="0.35">
      <c r="A366" s="55">
        <v>42552</v>
      </c>
      <c r="B366" s="56">
        <f t="shared" si="5"/>
        <v>2016</v>
      </c>
      <c r="C366" s="56" t="s">
        <v>3</v>
      </c>
      <c r="D366" s="57">
        <v>35</v>
      </c>
      <c r="E366" s="20" t="s">
        <v>55</v>
      </c>
    </row>
    <row r="367" spans="1:5" x14ac:dyDescent="0.35">
      <c r="A367" s="55">
        <v>42552</v>
      </c>
      <c r="B367" s="56">
        <f t="shared" si="5"/>
        <v>2016</v>
      </c>
      <c r="C367" s="56" t="s">
        <v>10</v>
      </c>
      <c r="D367" s="57">
        <v>18</v>
      </c>
      <c r="E367" s="20" t="s">
        <v>56</v>
      </c>
    </row>
    <row r="368" spans="1:5" x14ac:dyDescent="0.35">
      <c r="A368" s="55">
        <v>42552</v>
      </c>
      <c r="B368" s="56">
        <f t="shared" si="5"/>
        <v>2016</v>
      </c>
      <c r="C368" s="56" t="s">
        <v>6</v>
      </c>
      <c r="D368" s="57">
        <v>59</v>
      </c>
      <c r="E368" s="20" t="s">
        <v>55</v>
      </c>
    </row>
    <row r="369" spans="1:5" x14ac:dyDescent="0.35">
      <c r="A369" s="55">
        <v>42552</v>
      </c>
      <c r="B369" s="56">
        <f t="shared" si="5"/>
        <v>2016</v>
      </c>
      <c r="C369" s="56" t="s">
        <v>11</v>
      </c>
      <c r="D369" s="57">
        <v>35</v>
      </c>
      <c r="E369" s="20" t="s">
        <v>56</v>
      </c>
    </row>
    <row r="370" spans="1:5" x14ac:dyDescent="0.35">
      <c r="A370" s="55">
        <v>42552</v>
      </c>
      <c r="B370" s="56">
        <f t="shared" si="5"/>
        <v>2016</v>
      </c>
      <c r="C370" s="56" t="s">
        <v>8</v>
      </c>
      <c r="D370" s="57">
        <v>104.28</v>
      </c>
      <c r="E370" s="20" t="s">
        <v>8</v>
      </c>
    </row>
    <row r="371" spans="1:5" x14ac:dyDescent="0.35">
      <c r="A371" s="55">
        <v>42552</v>
      </c>
      <c r="B371" s="56">
        <f t="shared" si="5"/>
        <v>2016</v>
      </c>
      <c r="C371" s="56" t="s">
        <v>12</v>
      </c>
      <c r="D371" s="57">
        <v>3</v>
      </c>
      <c r="E371" s="20" t="s">
        <v>12</v>
      </c>
    </row>
    <row r="372" spans="1:5" x14ac:dyDescent="0.35">
      <c r="A372" s="55">
        <v>42552</v>
      </c>
      <c r="B372" s="56">
        <f t="shared" si="5"/>
        <v>2016</v>
      </c>
      <c r="C372" s="56" t="s">
        <v>50</v>
      </c>
      <c r="D372" s="57">
        <v>5</v>
      </c>
      <c r="E372" s="20" t="s">
        <v>50</v>
      </c>
    </row>
    <row r="373" spans="1:5" x14ac:dyDescent="0.35">
      <c r="A373" s="55">
        <v>42552</v>
      </c>
      <c r="B373" s="56">
        <f t="shared" si="5"/>
        <v>2016</v>
      </c>
      <c r="C373" s="56" t="s">
        <v>51</v>
      </c>
      <c r="D373" s="58">
        <v>17.240000000000002</v>
      </c>
      <c r="E373" s="56" t="s">
        <v>51</v>
      </c>
    </row>
    <row r="374" spans="1:5" x14ac:dyDescent="0.35">
      <c r="A374" s="55">
        <v>42583</v>
      </c>
      <c r="B374" s="56">
        <f t="shared" si="5"/>
        <v>2016</v>
      </c>
      <c r="C374" s="56" t="s">
        <v>2</v>
      </c>
      <c r="D374" s="57">
        <v>75</v>
      </c>
      <c r="E374" s="20" t="s">
        <v>55</v>
      </c>
    </row>
    <row r="375" spans="1:5" x14ac:dyDescent="0.35">
      <c r="A375" s="55">
        <v>42583</v>
      </c>
      <c r="B375" s="56">
        <f t="shared" si="5"/>
        <v>2016</v>
      </c>
      <c r="C375" s="56" t="s">
        <v>7</v>
      </c>
      <c r="D375" s="57">
        <v>47</v>
      </c>
      <c r="E375" s="20" t="s">
        <v>56</v>
      </c>
    </row>
    <row r="376" spans="1:5" x14ac:dyDescent="0.35">
      <c r="A376" s="55">
        <v>42583</v>
      </c>
      <c r="B376" s="56">
        <f t="shared" si="5"/>
        <v>2016</v>
      </c>
      <c r="C376" s="56" t="s">
        <v>4</v>
      </c>
      <c r="D376" s="57">
        <v>27</v>
      </c>
      <c r="E376" s="20" t="s">
        <v>55</v>
      </c>
    </row>
    <row r="377" spans="1:5" x14ac:dyDescent="0.35">
      <c r="A377" s="55">
        <v>42583</v>
      </c>
      <c r="B377" s="56">
        <f t="shared" si="5"/>
        <v>2016</v>
      </c>
      <c r="C377" s="56" t="s">
        <v>9</v>
      </c>
      <c r="D377" s="57">
        <v>19</v>
      </c>
      <c r="E377" s="20" t="s">
        <v>56</v>
      </c>
    </row>
    <row r="378" spans="1:5" x14ac:dyDescent="0.35">
      <c r="A378" s="55">
        <v>42583</v>
      </c>
      <c r="B378" s="56">
        <f t="shared" si="5"/>
        <v>2016</v>
      </c>
      <c r="C378" s="56" t="s">
        <v>3</v>
      </c>
      <c r="D378" s="57">
        <v>45</v>
      </c>
      <c r="E378" s="20" t="s">
        <v>55</v>
      </c>
    </row>
    <row r="379" spans="1:5" x14ac:dyDescent="0.35">
      <c r="A379" s="55">
        <v>42583</v>
      </c>
      <c r="B379" s="56">
        <f t="shared" si="5"/>
        <v>2016</v>
      </c>
      <c r="C379" s="56" t="s">
        <v>10</v>
      </c>
      <c r="D379" s="57">
        <v>11</v>
      </c>
      <c r="E379" s="20" t="s">
        <v>56</v>
      </c>
    </row>
    <row r="380" spans="1:5" x14ac:dyDescent="0.35">
      <c r="A380" s="55">
        <v>42583</v>
      </c>
      <c r="B380" s="56">
        <f t="shared" si="5"/>
        <v>2016</v>
      </c>
      <c r="C380" s="56" t="s">
        <v>6</v>
      </c>
      <c r="D380" s="57">
        <v>59</v>
      </c>
      <c r="E380" s="20" t="s">
        <v>55</v>
      </c>
    </row>
    <row r="381" spans="1:5" x14ac:dyDescent="0.35">
      <c r="A381" s="55">
        <v>42583</v>
      </c>
      <c r="B381" s="56">
        <f t="shared" si="5"/>
        <v>2016</v>
      </c>
      <c r="C381" s="56" t="s">
        <v>11</v>
      </c>
      <c r="D381" s="57">
        <v>30</v>
      </c>
      <c r="E381" s="20" t="s">
        <v>56</v>
      </c>
    </row>
    <row r="382" spans="1:5" x14ac:dyDescent="0.35">
      <c r="A382" s="55">
        <v>42583</v>
      </c>
      <c r="B382" s="56">
        <f t="shared" si="5"/>
        <v>2016</v>
      </c>
      <c r="C382" s="56" t="s">
        <v>8</v>
      </c>
      <c r="D382" s="57">
        <v>78.25</v>
      </c>
      <c r="E382" s="20" t="s">
        <v>8</v>
      </c>
    </row>
    <row r="383" spans="1:5" x14ac:dyDescent="0.35">
      <c r="A383" s="55">
        <v>42583</v>
      </c>
      <c r="B383" s="56">
        <f t="shared" si="5"/>
        <v>2016</v>
      </c>
      <c r="C383" s="56" t="s">
        <v>12</v>
      </c>
      <c r="D383" s="57">
        <v>4</v>
      </c>
      <c r="E383" s="20" t="s">
        <v>12</v>
      </c>
    </row>
    <row r="384" spans="1:5" x14ac:dyDescent="0.35">
      <c r="A384" s="55">
        <v>42583</v>
      </c>
      <c r="B384" s="56">
        <f t="shared" si="5"/>
        <v>2016</v>
      </c>
      <c r="C384" s="56" t="s">
        <v>50</v>
      </c>
      <c r="D384" s="57">
        <v>5</v>
      </c>
      <c r="E384" s="20" t="s">
        <v>50</v>
      </c>
    </row>
    <row r="385" spans="1:5" x14ac:dyDescent="0.35">
      <c r="A385" s="55">
        <v>42583</v>
      </c>
      <c r="B385" s="56">
        <f t="shared" si="5"/>
        <v>2016</v>
      </c>
      <c r="C385" s="56" t="s">
        <v>51</v>
      </c>
      <c r="D385" s="58">
        <v>17.840000000000003</v>
      </c>
      <c r="E385" s="56" t="s">
        <v>51</v>
      </c>
    </row>
    <row r="386" spans="1:5" x14ac:dyDescent="0.35">
      <c r="A386" s="55">
        <v>42614</v>
      </c>
      <c r="B386" s="56">
        <f t="shared" si="5"/>
        <v>2016</v>
      </c>
      <c r="C386" s="56" t="s">
        <v>2</v>
      </c>
      <c r="D386" s="57">
        <v>65</v>
      </c>
      <c r="E386" s="20" t="s">
        <v>55</v>
      </c>
    </row>
    <row r="387" spans="1:5" x14ac:dyDescent="0.35">
      <c r="A387" s="55">
        <v>42614</v>
      </c>
      <c r="B387" s="56">
        <f t="shared" ref="B387:B436" si="6">YEAR(A387)</f>
        <v>2016</v>
      </c>
      <c r="C387" s="56" t="s">
        <v>7</v>
      </c>
      <c r="D387" s="57">
        <v>47</v>
      </c>
      <c r="E387" s="20" t="s">
        <v>56</v>
      </c>
    </row>
    <row r="388" spans="1:5" x14ac:dyDescent="0.35">
      <c r="A388" s="55">
        <v>42614</v>
      </c>
      <c r="B388" s="56">
        <f t="shared" si="6"/>
        <v>2016</v>
      </c>
      <c r="C388" s="56" t="s">
        <v>4</v>
      </c>
      <c r="D388" s="57">
        <v>38</v>
      </c>
      <c r="E388" s="20" t="s">
        <v>55</v>
      </c>
    </row>
    <row r="389" spans="1:5" x14ac:dyDescent="0.35">
      <c r="A389" s="55">
        <v>42614</v>
      </c>
      <c r="B389" s="56">
        <f t="shared" si="6"/>
        <v>2016</v>
      </c>
      <c r="C389" s="56" t="s">
        <v>9</v>
      </c>
      <c r="D389" s="57">
        <v>13</v>
      </c>
      <c r="E389" s="20" t="s">
        <v>56</v>
      </c>
    </row>
    <row r="390" spans="1:5" x14ac:dyDescent="0.35">
      <c r="A390" s="55">
        <v>42614</v>
      </c>
      <c r="B390" s="56">
        <f t="shared" si="6"/>
        <v>2016</v>
      </c>
      <c r="C390" s="56" t="s">
        <v>3</v>
      </c>
      <c r="D390" s="57">
        <v>39</v>
      </c>
      <c r="E390" s="20" t="s">
        <v>55</v>
      </c>
    </row>
    <row r="391" spans="1:5" x14ac:dyDescent="0.35">
      <c r="A391" s="55">
        <v>42614</v>
      </c>
      <c r="B391" s="56">
        <f t="shared" si="6"/>
        <v>2016</v>
      </c>
      <c r="C391" s="56" t="s">
        <v>10</v>
      </c>
      <c r="D391" s="57">
        <v>11</v>
      </c>
      <c r="E391" s="20" t="s">
        <v>56</v>
      </c>
    </row>
    <row r="392" spans="1:5" x14ac:dyDescent="0.35">
      <c r="A392" s="55">
        <v>42614</v>
      </c>
      <c r="B392" s="56">
        <f t="shared" si="6"/>
        <v>2016</v>
      </c>
      <c r="C392" s="56" t="s">
        <v>6</v>
      </c>
      <c r="D392" s="57">
        <v>58</v>
      </c>
      <c r="E392" s="20" t="s">
        <v>55</v>
      </c>
    </row>
    <row r="393" spans="1:5" x14ac:dyDescent="0.35">
      <c r="A393" s="55">
        <v>42614</v>
      </c>
      <c r="B393" s="56">
        <f t="shared" si="6"/>
        <v>2016</v>
      </c>
      <c r="C393" s="56" t="s">
        <v>11</v>
      </c>
      <c r="D393" s="57">
        <v>32</v>
      </c>
      <c r="E393" s="20" t="s">
        <v>56</v>
      </c>
    </row>
    <row r="394" spans="1:5" x14ac:dyDescent="0.35">
      <c r="A394" s="55">
        <v>42614</v>
      </c>
      <c r="B394" s="56">
        <f t="shared" si="6"/>
        <v>2016</v>
      </c>
      <c r="C394" s="56" t="s">
        <v>8</v>
      </c>
      <c r="D394" s="57">
        <v>78.78</v>
      </c>
      <c r="E394" s="20" t="s">
        <v>8</v>
      </c>
    </row>
    <row r="395" spans="1:5" x14ac:dyDescent="0.35">
      <c r="A395" s="55">
        <v>42614</v>
      </c>
      <c r="B395" s="56">
        <f t="shared" si="6"/>
        <v>2016</v>
      </c>
      <c r="C395" s="56" t="s">
        <v>12</v>
      </c>
      <c r="D395" s="57">
        <v>3</v>
      </c>
      <c r="E395" s="20" t="s">
        <v>12</v>
      </c>
    </row>
    <row r="396" spans="1:5" x14ac:dyDescent="0.35">
      <c r="A396" s="55">
        <v>42614</v>
      </c>
      <c r="B396" s="56">
        <f t="shared" si="6"/>
        <v>2016</v>
      </c>
      <c r="C396" s="56" t="s">
        <v>50</v>
      </c>
      <c r="D396" s="57">
        <v>4</v>
      </c>
      <c r="E396" s="20" t="s">
        <v>50</v>
      </c>
    </row>
    <row r="397" spans="1:5" x14ac:dyDescent="0.35">
      <c r="A397" s="55">
        <v>42614</v>
      </c>
      <c r="B397" s="56">
        <f t="shared" si="6"/>
        <v>2016</v>
      </c>
      <c r="C397" s="56" t="s">
        <v>51</v>
      </c>
      <c r="D397" s="58">
        <v>17.170000000000002</v>
      </c>
      <c r="E397" s="56" t="s">
        <v>51</v>
      </c>
    </row>
    <row r="398" spans="1:5" x14ac:dyDescent="0.35">
      <c r="A398" s="55">
        <v>42644</v>
      </c>
      <c r="B398" s="56">
        <f t="shared" si="6"/>
        <v>2016</v>
      </c>
      <c r="C398" s="56" t="s">
        <v>2</v>
      </c>
      <c r="D398" s="57">
        <v>72</v>
      </c>
      <c r="E398" s="20" t="s">
        <v>55</v>
      </c>
    </row>
    <row r="399" spans="1:5" x14ac:dyDescent="0.35">
      <c r="A399" s="55">
        <v>42644</v>
      </c>
      <c r="B399" s="56">
        <f t="shared" si="6"/>
        <v>2016</v>
      </c>
      <c r="C399" s="56" t="s">
        <v>7</v>
      </c>
      <c r="D399" s="57">
        <v>51</v>
      </c>
      <c r="E399" s="20" t="s">
        <v>56</v>
      </c>
    </row>
    <row r="400" spans="1:5" x14ac:dyDescent="0.35">
      <c r="A400" s="55">
        <v>42644</v>
      </c>
      <c r="B400" s="56">
        <f t="shared" si="6"/>
        <v>2016</v>
      </c>
      <c r="C400" s="56" t="s">
        <v>4</v>
      </c>
      <c r="D400" s="57">
        <v>34</v>
      </c>
      <c r="E400" s="20" t="s">
        <v>55</v>
      </c>
    </row>
    <row r="401" spans="1:5" x14ac:dyDescent="0.35">
      <c r="A401" s="55">
        <v>42644</v>
      </c>
      <c r="B401" s="56">
        <f t="shared" si="6"/>
        <v>2016</v>
      </c>
      <c r="C401" s="56" t="s">
        <v>9</v>
      </c>
      <c r="D401" s="57">
        <v>16</v>
      </c>
      <c r="E401" s="20" t="s">
        <v>56</v>
      </c>
    </row>
    <row r="402" spans="1:5" x14ac:dyDescent="0.35">
      <c r="A402" s="55">
        <v>42644</v>
      </c>
      <c r="B402" s="56">
        <f t="shared" si="6"/>
        <v>2016</v>
      </c>
      <c r="C402" s="56" t="s">
        <v>3</v>
      </c>
      <c r="D402" s="57">
        <v>39</v>
      </c>
      <c r="E402" s="20" t="s">
        <v>55</v>
      </c>
    </row>
    <row r="403" spans="1:5" x14ac:dyDescent="0.35">
      <c r="A403" s="55">
        <v>42644</v>
      </c>
      <c r="B403" s="56">
        <f t="shared" si="6"/>
        <v>2016</v>
      </c>
      <c r="C403" s="56" t="s">
        <v>10</v>
      </c>
      <c r="D403" s="57">
        <v>10</v>
      </c>
      <c r="E403" s="20" t="s">
        <v>56</v>
      </c>
    </row>
    <row r="404" spans="1:5" x14ac:dyDescent="0.35">
      <c r="A404" s="55">
        <v>42644</v>
      </c>
      <c r="B404" s="56">
        <f t="shared" si="6"/>
        <v>2016</v>
      </c>
      <c r="C404" s="56" t="s">
        <v>6</v>
      </c>
      <c r="D404" s="57">
        <v>64</v>
      </c>
      <c r="E404" s="20" t="s">
        <v>55</v>
      </c>
    </row>
    <row r="405" spans="1:5" x14ac:dyDescent="0.35">
      <c r="A405" s="55">
        <v>42644</v>
      </c>
      <c r="B405" s="56">
        <f t="shared" si="6"/>
        <v>2016</v>
      </c>
      <c r="C405" s="56" t="s">
        <v>11</v>
      </c>
      <c r="D405" s="57">
        <v>35</v>
      </c>
      <c r="E405" s="20" t="s">
        <v>56</v>
      </c>
    </row>
    <row r="406" spans="1:5" x14ac:dyDescent="0.35">
      <c r="A406" s="55">
        <v>42644</v>
      </c>
      <c r="B406" s="56">
        <f t="shared" si="6"/>
        <v>2016</v>
      </c>
      <c r="C406" s="56" t="s">
        <v>8</v>
      </c>
      <c r="D406" s="57">
        <v>83.460000000000008</v>
      </c>
      <c r="E406" s="20" t="s">
        <v>8</v>
      </c>
    </row>
    <row r="407" spans="1:5" x14ac:dyDescent="0.35">
      <c r="A407" s="55">
        <v>42644</v>
      </c>
      <c r="B407" s="56">
        <f t="shared" si="6"/>
        <v>2016</v>
      </c>
      <c r="C407" s="56" t="s">
        <v>12</v>
      </c>
      <c r="D407" s="57">
        <v>3</v>
      </c>
      <c r="E407" s="20" t="s">
        <v>12</v>
      </c>
    </row>
    <row r="408" spans="1:5" x14ac:dyDescent="0.35">
      <c r="A408" s="55">
        <v>42644</v>
      </c>
      <c r="B408" s="56">
        <f t="shared" si="6"/>
        <v>2016</v>
      </c>
      <c r="C408" s="56" t="s">
        <v>50</v>
      </c>
      <c r="D408" s="57">
        <v>5</v>
      </c>
      <c r="E408" s="20" t="s">
        <v>50</v>
      </c>
    </row>
    <row r="409" spans="1:5" x14ac:dyDescent="0.35">
      <c r="A409" s="55">
        <v>42644</v>
      </c>
      <c r="B409" s="56">
        <f t="shared" si="6"/>
        <v>2016</v>
      </c>
      <c r="C409" s="56" t="s">
        <v>51</v>
      </c>
      <c r="D409" s="58">
        <v>18.05</v>
      </c>
      <c r="E409" s="56" t="s">
        <v>51</v>
      </c>
    </row>
    <row r="410" spans="1:5" x14ac:dyDescent="0.35">
      <c r="A410" s="55">
        <v>42675</v>
      </c>
      <c r="B410" s="56">
        <f t="shared" si="6"/>
        <v>2016</v>
      </c>
      <c r="C410" s="56" t="s">
        <v>2</v>
      </c>
      <c r="D410" s="57">
        <v>64</v>
      </c>
      <c r="E410" s="20" t="s">
        <v>55</v>
      </c>
    </row>
    <row r="411" spans="1:5" x14ac:dyDescent="0.35">
      <c r="A411" s="55">
        <v>42675</v>
      </c>
      <c r="B411" s="56">
        <f t="shared" si="6"/>
        <v>2016</v>
      </c>
      <c r="C411" s="56" t="s">
        <v>7</v>
      </c>
      <c r="D411" s="57">
        <v>52</v>
      </c>
      <c r="E411" s="20" t="s">
        <v>56</v>
      </c>
    </row>
    <row r="412" spans="1:5" x14ac:dyDescent="0.35">
      <c r="A412" s="55">
        <v>42675</v>
      </c>
      <c r="B412" s="56">
        <f t="shared" si="6"/>
        <v>2016</v>
      </c>
      <c r="C412" s="56" t="s">
        <v>4</v>
      </c>
      <c r="D412" s="57">
        <v>37</v>
      </c>
      <c r="E412" s="20" t="s">
        <v>55</v>
      </c>
    </row>
    <row r="413" spans="1:5" x14ac:dyDescent="0.35">
      <c r="A413" s="55">
        <v>42675</v>
      </c>
      <c r="B413" s="56">
        <f t="shared" si="6"/>
        <v>2016</v>
      </c>
      <c r="C413" s="56" t="s">
        <v>9</v>
      </c>
      <c r="D413" s="57">
        <v>15</v>
      </c>
      <c r="E413" s="20" t="s">
        <v>56</v>
      </c>
    </row>
    <row r="414" spans="1:5" x14ac:dyDescent="0.35">
      <c r="A414" s="55">
        <v>42675</v>
      </c>
      <c r="B414" s="56">
        <f t="shared" si="6"/>
        <v>2016</v>
      </c>
      <c r="C414" s="56" t="s">
        <v>3</v>
      </c>
      <c r="D414" s="57">
        <v>50</v>
      </c>
      <c r="E414" s="20" t="s">
        <v>55</v>
      </c>
    </row>
    <row r="415" spans="1:5" x14ac:dyDescent="0.35">
      <c r="A415" s="55">
        <v>42675</v>
      </c>
      <c r="B415" s="56">
        <f t="shared" si="6"/>
        <v>2016</v>
      </c>
      <c r="C415" s="56" t="s">
        <v>10</v>
      </c>
      <c r="D415" s="57">
        <v>14</v>
      </c>
      <c r="E415" s="20" t="s">
        <v>56</v>
      </c>
    </row>
    <row r="416" spans="1:5" x14ac:dyDescent="0.35">
      <c r="A416" s="55">
        <v>42675</v>
      </c>
      <c r="B416" s="56">
        <f t="shared" si="6"/>
        <v>2016</v>
      </c>
      <c r="C416" s="56" t="s">
        <v>6</v>
      </c>
      <c r="D416" s="57">
        <v>58</v>
      </c>
      <c r="E416" s="20" t="s">
        <v>55</v>
      </c>
    </row>
    <row r="417" spans="1:5" x14ac:dyDescent="0.35">
      <c r="A417" s="55">
        <v>42675</v>
      </c>
      <c r="B417" s="56">
        <f t="shared" si="6"/>
        <v>2016</v>
      </c>
      <c r="C417" s="56" t="s">
        <v>11</v>
      </c>
      <c r="D417" s="57">
        <v>33</v>
      </c>
      <c r="E417" s="20" t="s">
        <v>56</v>
      </c>
    </row>
    <row r="418" spans="1:5" x14ac:dyDescent="0.35">
      <c r="A418" s="55">
        <v>42675</v>
      </c>
      <c r="B418" s="56">
        <f t="shared" si="6"/>
        <v>2016</v>
      </c>
      <c r="C418" s="56" t="s">
        <v>8</v>
      </c>
      <c r="D418" s="57">
        <v>87.210000000000008</v>
      </c>
      <c r="E418" s="20" t="s">
        <v>8</v>
      </c>
    </row>
    <row r="419" spans="1:5" x14ac:dyDescent="0.35">
      <c r="A419" s="55">
        <v>42675</v>
      </c>
      <c r="B419" s="56">
        <f t="shared" si="6"/>
        <v>2016</v>
      </c>
      <c r="C419" s="56" t="s">
        <v>12</v>
      </c>
      <c r="D419" s="57">
        <v>3</v>
      </c>
      <c r="E419" s="20" t="s">
        <v>12</v>
      </c>
    </row>
    <row r="420" spans="1:5" x14ac:dyDescent="0.35">
      <c r="A420" s="55">
        <v>42675</v>
      </c>
      <c r="B420" s="56">
        <f t="shared" si="6"/>
        <v>2016</v>
      </c>
      <c r="C420" s="56" t="s">
        <v>50</v>
      </c>
      <c r="D420" s="57">
        <v>5</v>
      </c>
      <c r="E420" s="20" t="s">
        <v>50</v>
      </c>
    </row>
    <row r="421" spans="1:5" x14ac:dyDescent="0.35">
      <c r="A421" s="55">
        <v>42675</v>
      </c>
      <c r="B421" s="56">
        <f t="shared" si="6"/>
        <v>2016</v>
      </c>
      <c r="C421" s="56" t="s">
        <v>51</v>
      </c>
      <c r="D421" s="58">
        <v>18.010000000000002</v>
      </c>
      <c r="E421" s="56" t="s">
        <v>51</v>
      </c>
    </row>
    <row r="422" spans="1:5" x14ac:dyDescent="0.35">
      <c r="A422" s="55">
        <v>42705</v>
      </c>
      <c r="B422" s="56">
        <f t="shared" si="6"/>
        <v>2016</v>
      </c>
      <c r="C422" s="56" t="s">
        <v>2</v>
      </c>
      <c r="D422" s="57">
        <v>66</v>
      </c>
      <c r="E422" s="20" t="s">
        <v>55</v>
      </c>
    </row>
    <row r="423" spans="1:5" x14ac:dyDescent="0.35">
      <c r="A423" s="55">
        <v>42705</v>
      </c>
      <c r="B423" s="56">
        <f t="shared" si="6"/>
        <v>2016</v>
      </c>
      <c r="C423" s="56" t="s">
        <v>7</v>
      </c>
      <c r="D423" s="57">
        <v>56</v>
      </c>
      <c r="E423" s="20" t="s">
        <v>56</v>
      </c>
    </row>
    <row r="424" spans="1:5" x14ac:dyDescent="0.35">
      <c r="A424" s="55">
        <v>42705</v>
      </c>
      <c r="B424" s="56">
        <f t="shared" si="6"/>
        <v>2016</v>
      </c>
      <c r="C424" s="56" t="s">
        <v>4</v>
      </c>
      <c r="D424" s="57">
        <v>38</v>
      </c>
      <c r="E424" s="20" t="s">
        <v>55</v>
      </c>
    </row>
    <row r="425" spans="1:5" x14ac:dyDescent="0.35">
      <c r="A425" s="55">
        <v>42705</v>
      </c>
      <c r="B425" s="56">
        <f t="shared" si="6"/>
        <v>2016</v>
      </c>
      <c r="C425" s="56" t="s">
        <v>9</v>
      </c>
      <c r="D425" s="57">
        <v>13</v>
      </c>
      <c r="E425" s="20" t="s">
        <v>56</v>
      </c>
    </row>
    <row r="426" spans="1:5" x14ac:dyDescent="0.35">
      <c r="A426" s="55">
        <v>42705</v>
      </c>
      <c r="B426" s="56">
        <f t="shared" si="6"/>
        <v>2016</v>
      </c>
      <c r="C426" s="56" t="s">
        <v>3</v>
      </c>
      <c r="D426" s="57">
        <v>41</v>
      </c>
      <c r="E426" s="20" t="s">
        <v>55</v>
      </c>
    </row>
    <row r="427" spans="1:5" x14ac:dyDescent="0.35">
      <c r="A427" s="55">
        <v>42705</v>
      </c>
      <c r="B427" s="56">
        <f t="shared" si="6"/>
        <v>2016</v>
      </c>
      <c r="C427" s="56" t="s">
        <v>10</v>
      </c>
      <c r="D427" s="57">
        <v>18</v>
      </c>
      <c r="E427" s="20" t="s">
        <v>56</v>
      </c>
    </row>
    <row r="428" spans="1:5" x14ac:dyDescent="0.35">
      <c r="A428" s="55">
        <v>42705</v>
      </c>
      <c r="B428" s="56">
        <f t="shared" si="6"/>
        <v>2016</v>
      </c>
      <c r="C428" s="56" t="s">
        <v>6</v>
      </c>
      <c r="D428" s="57">
        <v>65</v>
      </c>
      <c r="E428" s="20" t="s">
        <v>55</v>
      </c>
    </row>
    <row r="429" spans="1:5" x14ac:dyDescent="0.35">
      <c r="A429" s="55">
        <v>42705</v>
      </c>
      <c r="B429" s="56">
        <f t="shared" si="6"/>
        <v>2016</v>
      </c>
      <c r="C429" s="56" t="s">
        <v>11</v>
      </c>
      <c r="D429" s="57">
        <v>30</v>
      </c>
      <c r="E429" s="20" t="s">
        <v>56</v>
      </c>
    </row>
    <row r="430" spans="1:5" x14ac:dyDescent="0.35">
      <c r="A430" s="55">
        <v>42705</v>
      </c>
      <c r="B430" s="56">
        <f t="shared" si="6"/>
        <v>2016</v>
      </c>
      <c r="C430" s="56" t="s">
        <v>8</v>
      </c>
      <c r="D430" s="57">
        <v>91.56</v>
      </c>
      <c r="E430" s="20" t="s">
        <v>8</v>
      </c>
    </row>
    <row r="431" spans="1:5" x14ac:dyDescent="0.35">
      <c r="A431" s="55">
        <v>42705</v>
      </c>
      <c r="B431" s="56">
        <f t="shared" si="6"/>
        <v>2016</v>
      </c>
      <c r="C431" s="56" t="s">
        <v>12</v>
      </c>
      <c r="D431" s="57">
        <v>4</v>
      </c>
      <c r="E431" s="20" t="s">
        <v>12</v>
      </c>
    </row>
    <row r="432" spans="1:5" x14ac:dyDescent="0.35">
      <c r="A432" s="55">
        <v>42705</v>
      </c>
      <c r="B432" s="56">
        <f t="shared" si="6"/>
        <v>2016</v>
      </c>
      <c r="C432" s="56" t="s">
        <v>50</v>
      </c>
      <c r="D432" s="57">
        <v>4</v>
      </c>
      <c r="E432" s="20" t="s">
        <v>50</v>
      </c>
    </row>
    <row r="433" spans="1:5" x14ac:dyDescent="0.35">
      <c r="A433" s="55">
        <v>42705</v>
      </c>
      <c r="B433" s="56">
        <f t="shared" si="6"/>
        <v>2016</v>
      </c>
      <c r="C433" s="56" t="s">
        <v>51</v>
      </c>
      <c r="D433" s="58">
        <v>18.130000000000003</v>
      </c>
      <c r="E433" s="56" t="s">
        <v>51</v>
      </c>
    </row>
    <row r="434" spans="1:5" x14ac:dyDescent="0.35">
      <c r="A434" s="55">
        <v>41974</v>
      </c>
      <c r="B434" s="56">
        <f t="shared" si="6"/>
        <v>2014</v>
      </c>
      <c r="C434" s="20" t="s">
        <v>52</v>
      </c>
      <c r="D434" s="57">
        <v>524</v>
      </c>
      <c r="E434" s="20" t="s">
        <v>55</v>
      </c>
    </row>
    <row r="435" spans="1:5" x14ac:dyDescent="0.35">
      <c r="A435" s="55">
        <v>42339</v>
      </c>
      <c r="B435" s="56">
        <f t="shared" si="6"/>
        <v>2015</v>
      </c>
      <c r="C435" s="20" t="s">
        <v>52</v>
      </c>
      <c r="D435" s="57">
        <v>550</v>
      </c>
      <c r="E435" s="20" t="s">
        <v>55</v>
      </c>
    </row>
    <row r="436" spans="1:5" x14ac:dyDescent="0.35">
      <c r="A436" s="55">
        <v>42705</v>
      </c>
      <c r="B436" s="56">
        <f t="shared" si="6"/>
        <v>2016</v>
      </c>
      <c r="C436" s="20" t="s">
        <v>52</v>
      </c>
      <c r="D436" s="57">
        <v>628</v>
      </c>
      <c r="E436" s="20" t="s">
        <v>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S37"/>
  <sheetViews>
    <sheetView tabSelected="1" workbookViewId="0"/>
  </sheetViews>
  <sheetFormatPr defaultColWidth="9.1796875" defaultRowHeight="10" outlineLevelCol="1" x14ac:dyDescent="0.2"/>
  <cols>
    <col min="1" max="1" width="2" style="26" customWidth="1"/>
    <col min="2" max="2" width="18.1796875" style="26" customWidth="1"/>
    <col min="3" max="5" width="9.1796875" style="26"/>
    <col min="6" max="6" width="2" style="26" customWidth="1"/>
    <col min="7" max="8" width="9.1796875" style="26" hidden="1" customWidth="1" outlineLevel="1"/>
    <col min="9" max="9" width="9.1796875" style="26" collapsed="1"/>
    <col min="10" max="16384" width="9.1796875" style="26"/>
  </cols>
  <sheetData>
    <row r="1" spans="2:19" ht="11" thickBot="1" x14ac:dyDescent="0.3">
      <c r="B1" s="40" t="s">
        <v>57</v>
      </c>
    </row>
    <row r="2" spans="2:19" ht="11" thickBot="1" x14ac:dyDescent="0.3">
      <c r="B2" s="40" t="s">
        <v>124</v>
      </c>
      <c r="C2" s="41" t="s">
        <v>127</v>
      </c>
    </row>
    <row r="3" spans="2:19" x14ac:dyDescent="0.2">
      <c r="I3" s="59" t="s">
        <v>123</v>
      </c>
      <c r="J3" s="59"/>
      <c r="K3" s="59"/>
      <c r="L3" s="59"/>
      <c r="M3" s="59"/>
    </row>
    <row r="4" spans="2:19" ht="21.5" thickBot="1" x14ac:dyDescent="0.3">
      <c r="B4" s="21" t="s">
        <v>63</v>
      </c>
      <c r="C4" s="42">
        <v>2014</v>
      </c>
      <c r="D4" s="42">
        <v>2015</v>
      </c>
      <c r="E4" s="42">
        <v>2016</v>
      </c>
      <c r="G4" s="43" t="s">
        <v>64</v>
      </c>
      <c r="H4" s="43" t="s">
        <v>65</v>
      </c>
      <c r="I4" s="42">
        <v>2017</v>
      </c>
      <c r="J4" s="42">
        <v>2018</v>
      </c>
      <c r="K4" s="42">
        <v>2019</v>
      </c>
      <c r="L4" s="42">
        <v>2020</v>
      </c>
      <c r="M4" s="42">
        <v>2021</v>
      </c>
    </row>
    <row r="5" spans="2:19" x14ac:dyDescent="0.2">
      <c r="B5" s="23" t="s">
        <v>55</v>
      </c>
      <c r="C5" s="23">
        <f>+SUMIFS(Workings!$D:$D,Workings!$E:$E,'P&amp;L'!$B5,Workings!$B:$B,'P&amp;L'!C$4)</f>
        <v>2922</v>
      </c>
      <c r="D5" s="23">
        <f>+SUMIFS(Workings!$D:$D,Workings!$E:$E,'P&amp;L'!$B5,Workings!$B:$B,'P&amp;L'!D$4)</f>
        <v>2984</v>
      </c>
      <c r="E5" s="23">
        <f>+SUMIFS(Workings!$D:$D,Workings!$E:$E,'P&amp;L'!$B5,Workings!$B:$B,'P&amp;L'!E$4)</f>
        <v>3040</v>
      </c>
      <c r="G5" s="44">
        <f>D5/C5-1</f>
        <v>2.1218343600273748E-2</v>
      </c>
      <c r="H5" s="44">
        <f t="shared" ref="H5:H15" si="0">E5/D5-1</f>
        <v>1.8766756032171594E-2</v>
      </c>
      <c r="I5" s="23">
        <f>E5+(E5*I20)</f>
        <v>3100.8</v>
      </c>
      <c r="J5" s="23">
        <f ca="1">I5*(1+J20)</f>
        <v>3162.8160000000003</v>
      </c>
      <c r="K5" s="23">
        <f t="shared" ref="K5:M5" ca="1" si="1">J5*(1+K20)</f>
        <v>3226.0723200000002</v>
      </c>
      <c r="L5" s="23">
        <f t="shared" ca="1" si="1"/>
        <v>3290.5937664000003</v>
      </c>
      <c r="M5" s="23">
        <f t="shared" ca="1" si="1"/>
        <v>3356.4056417280003</v>
      </c>
    </row>
    <row r="6" spans="2:19" x14ac:dyDescent="0.2">
      <c r="B6" s="23" t="s">
        <v>56</v>
      </c>
      <c r="C6" s="23">
        <f>-1*SUMIFS(Workings!$D:$D,Workings!$E:$E,'P&amp;L'!$B6,Workings!$B:$B,'P&amp;L'!C$4)</f>
        <v>-1401</v>
      </c>
      <c r="D6" s="23">
        <f>-1*SUMIFS(Workings!$D:$D,Workings!$E:$E,'P&amp;L'!$B6,Workings!$B:$B,'P&amp;L'!D$4)</f>
        <v>-1383</v>
      </c>
      <c r="E6" s="23">
        <f>-1*SUMIFS(Workings!$D:$D,Workings!$E:$E,'P&amp;L'!$B6,Workings!$B:$B,'P&amp;L'!E$4)</f>
        <v>-1367</v>
      </c>
      <c r="G6" s="44">
        <f t="shared" ref="G6:G15" si="2">D6/C6-1</f>
        <v>-1.2847965738758016E-2</v>
      </c>
      <c r="H6" s="44">
        <f t="shared" si="0"/>
        <v>-1.156905278380338E-2</v>
      </c>
      <c r="I6" s="23">
        <f ca="1">I5*I26</f>
        <v>-1437.1335120643432</v>
      </c>
      <c r="J6" s="23">
        <f t="shared" ref="J6:M6" ca="1" si="3">J5*J26</f>
        <v>-1465.8761823056302</v>
      </c>
      <c r="K6" s="23">
        <f t="shared" ca="1" si="3"/>
        <v>-1495.1937059517427</v>
      </c>
      <c r="L6" s="23">
        <f t="shared" ca="1" si="3"/>
        <v>-1525.0975800707777</v>
      </c>
      <c r="M6" s="23">
        <f t="shared" ca="1" si="3"/>
        <v>-1555.5995316721933</v>
      </c>
      <c r="Q6" s="45"/>
      <c r="R6" s="45"/>
      <c r="S6" s="45"/>
    </row>
    <row r="7" spans="2:19" ht="10.5" x14ac:dyDescent="0.25">
      <c r="B7" s="46" t="s">
        <v>58</v>
      </c>
      <c r="C7" s="46">
        <f>SUM(C5:C6)</f>
        <v>1521</v>
      </c>
      <c r="D7" s="46">
        <f>SUM(D5:D6)</f>
        <v>1601</v>
      </c>
      <c r="E7" s="46">
        <f>SUM(E5:E6)</f>
        <v>1673</v>
      </c>
      <c r="G7" s="47">
        <f t="shared" si="2"/>
        <v>5.2596975673898649E-2</v>
      </c>
      <c r="H7" s="47">
        <f t="shared" si="0"/>
        <v>4.4971892567145622E-2</v>
      </c>
      <c r="I7" s="46">
        <f t="shared" ref="I7:M7" ca="1" si="4">SUM(I5:I6)</f>
        <v>1663.666487935657</v>
      </c>
      <c r="J7" s="46">
        <f t="shared" ca="1" si="4"/>
        <v>1696.93981769437</v>
      </c>
      <c r="K7" s="46">
        <f t="shared" ca="1" si="4"/>
        <v>1730.8786140482575</v>
      </c>
      <c r="L7" s="46">
        <f t="shared" ca="1" si="4"/>
        <v>1765.4961863292226</v>
      </c>
      <c r="M7" s="46">
        <f t="shared" ca="1" si="4"/>
        <v>1800.806110055807</v>
      </c>
    </row>
    <row r="8" spans="2:19" x14ac:dyDescent="0.2">
      <c r="B8" s="23" t="s">
        <v>8</v>
      </c>
      <c r="C8" s="23">
        <f>-1*SUMIFS(Workings!$D:$D,Workings!$E:$E,'P&amp;L'!$B8,Workings!$B:$B,'P&amp;L'!C$4)</f>
        <v>-1212.1799999999998</v>
      </c>
      <c r="D8" s="23">
        <f>-1*SUMIFS(Workings!$D:$D,Workings!$E:$E,'P&amp;L'!$B8,Workings!$B:$B,'P&amp;L'!D$4)</f>
        <v>-1245.3399999999999</v>
      </c>
      <c r="E8" s="23">
        <f>-1*SUMIFS(Workings!$D:$D,Workings!$E:$E,'P&amp;L'!$B8,Workings!$B:$B,'P&amp;L'!E$4)</f>
        <v>-1068.24</v>
      </c>
      <c r="G8" s="44">
        <f t="shared" si="2"/>
        <v>2.7355673249847445E-2</v>
      </c>
      <c r="H8" s="44">
        <f t="shared" si="0"/>
        <v>-0.14221015947452098</v>
      </c>
      <c r="I8" s="23">
        <f ca="1">I5*I31</f>
        <v>-1286.3544640657083</v>
      </c>
      <c r="J8" s="23">
        <f t="shared" ref="J8:M8" ca="1" si="5">J5*J31</f>
        <v>-1312.0815533470225</v>
      </c>
      <c r="K8" s="23">
        <f t="shared" ca="1" si="5"/>
        <v>-1338.323184413963</v>
      </c>
      <c r="L8" s="23">
        <f t="shared" ca="1" si="5"/>
        <v>-1365.0896481022421</v>
      </c>
      <c r="M8" s="23">
        <f t="shared" ca="1" si="5"/>
        <v>-1392.3914410642869</v>
      </c>
    </row>
    <row r="9" spans="2:19" ht="10.5" x14ac:dyDescent="0.25">
      <c r="B9" s="46" t="s">
        <v>59</v>
      </c>
      <c r="C9" s="46">
        <f>SUM(C7:C8)</f>
        <v>308.82000000000016</v>
      </c>
      <c r="D9" s="46">
        <f>SUM(D7:D8)</f>
        <v>355.66000000000008</v>
      </c>
      <c r="E9" s="46">
        <f>SUM(E7:E8)</f>
        <v>604.76</v>
      </c>
      <c r="G9" s="47">
        <f t="shared" si="2"/>
        <v>0.15167411437083045</v>
      </c>
      <c r="H9" s="47">
        <f t="shared" si="0"/>
        <v>0.70038801102176196</v>
      </c>
      <c r="I9" s="46">
        <f t="shared" ref="I9:M9" ca="1" si="6">SUM(I7:I8)</f>
        <v>377.31202386994869</v>
      </c>
      <c r="J9" s="46">
        <f t="shared" ca="1" si="6"/>
        <v>384.85826434734759</v>
      </c>
      <c r="K9" s="46">
        <f t="shared" ca="1" si="6"/>
        <v>392.55542963429457</v>
      </c>
      <c r="L9" s="46">
        <f t="shared" ca="1" si="6"/>
        <v>400.4065382269805</v>
      </c>
      <c r="M9" s="46">
        <f t="shared" ca="1" si="6"/>
        <v>408.4146689915201</v>
      </c>
    </row>
    <row r="10" spans="2:19" x14ac:dyDescent="0.2">
      <c r="B10" s="23" t="s">
        <v>12</v>
      </c>
      <c r="C10" s="23">
        <f>-1*SUMIFS(Workings!$D:$D,Workings!$E:$E,'P&amp;L'!$B10,Workings!$B:$B,'P&amp;L'!C$4)</f>
        <v>-31</v>
      </c>
      <c r="D10" s="23">
        <f>-1*SUMIFS(Workings!$D:$D,Workings!$E:$E,'P&amp;L'!$B10,Workings!$B:$B,'P&amp;L'!D$4)</f>
        <v>-44</v>
      </c>
      <c r="E10" s="23">
        <f>-1*SUMIFS(Workings!$D:$D,Workings!$E:$E,'P&amp;L'!$B10,Workings!$B:$B,'P&amp;L'!E$4)</f>
        <v>-41</v>
      </c>
      <c r="G10" s="44">
        <f t="shared" si="2"/>
        <v>0.41935483870967749</v>
      </c>
      <c r="H10" s="44">
        <f t="shared" si="0"/>
        <v>-6.8181818181818232E-2</v>
      </c>
      <c r="I10" s="23">
        <f>'Fixed Asset Roll Forward'!F5</f>
        <v>-44.314229249011859</v>
      </c>
      <c r="J10" s="23">
        <f>'Fixed Asset Roll Forward'!G5</f>
        <v>-45.260066553140966</v>
      </c>
      <c r="K10" s="23">
        <f>'Fixed Asset Roll Forward'!H5</f>
        <v>-46.22609168905781</v>
      </c>
      <c r="L10" s="23">
        <f>'Fixed Asset Roll Forward'!I5</f>
        <v>-47.212735543290663</v>
      </c>
      <c r="M10" s="23">
        <f>'Fixed Asset Roll Forward'!J5</f>
        <v>-48.22043819915536</v>
      </c>
    </row>
    <row r="11" spans="2:19" ht="10.5" x14ac:dyDescent="0.25">
      <c r="B11" s="46" t="s">
        <v>60</v>
      </c>
      <c r="C11" s="46">
        <f>SUM(C9:C10)</f>
        <v>277.82000000000016</v>
      </c>
      <c r="D11" s="46">
        <f>SUM(D9:D10)</f>
        <v>311.66000000000008</v>
      </c>
      <c r="E11" s="46">
        <f>SUM(E9:E10)</f>
        <v>563.76</v>
      </c>
      <c r="G11" s="47">
        <f t="shared" si="2"/>
        <v>0.12180548556619364</v>
      </c>
      <c r="H11" s="47">
        <f t="shared" si="0"/>
        <v>0.80889430789963379</v>
      </c>
      <c r="I11" s="46">
        <f t="shared" ref="I11:M11" ca="1" si="7">SUM(I9:I10)</f>
        <v>332.99779462093682</v>
      </c>
      <c r="J11" s="46">
        <f t="shared" ca="1" si="7"/>
        <v>339.59819779420661</v>
      </c>
      <c r="K11" s="46">
        <f t="shared" ca="1" si="7"/>
        <v>346.32933794523677</v>
      </c>
      <c r="L11" s="46">
        <f t="shared" ca="1" si="7"/>
        <v>353.19380268368985</v>
      </c>
      <c r="M11" s="46">
        <f t="shared" ca="1" si="7"/>
        <v>360.19423079236475</v>
      </c>
    </row>
    <row r="12" spans="2:19" x14ac:dyDescent="0.2">
      <c r="B12" s="23" t="s">
        <v>50</v>
      </c>
      <c r="C12" s="23">
        <f>-1*SUMIFS(Workings!$D:$D,Workings!$E:$E,'P&amp;L'!$B12,Workings!$B:$B,'P&amp;L'!C$4)</f>
        <v>-56</v>
      </c>
      <c r="D12" s="23">
        <f>-1*SUMIFS(Workings!$D:$D,Workings!$E:$E,'P&amp;L'!$B12,Workings!$B:$B,'P&amp;L'!D$4)</f>
        <v>-65</v>
      </c>
      <c r="E12" s="23">
        <f>-1*SUMIFS(Workings!$D:$D,Workings!$E:$E,'P&amp;L'!$B12,Workings!$B:$B,'P&amp;L'!E$4)</f>
        <v>-52</v>
      </c>
      <c r="G12" s="44">
        <f t="shared" si="2"/>
        <v>0.16071428571428581</v>
      </c>
      <c r="H12" s="44">
        <f t="shared" si="0"/>
        <v>-0.19999999999999996</v>
      </c>
      <c r="I12" s="23">
        <f>'Financial Liablity'!C15</f>
        <v>-54.449999999999996</v>
      </c>
      <c r="J12" s="23">
        <f>'Financial Liablity'!D15</f>
        <v>-50.866096104453106</v>
      </c>
      <c r="K12" s="23">
        <f>'Financial Liablity'!E15</f>
        <v>-46.959640858306997</v>
      </c>
      <c r="L12" s="23">
        <f>'Financial Liablity'!F15</f>
        <v>-42.701604640007737</v>
      </c>
      <c r="M12" s="23">
        <f>'Financial Liablity'!G15</f>
        <v>-38.060345162061552</v>
      </c>
    </row>
    <row r="13" spans="2:19" ht="10.5" x14ac:dyDescent="0.25">
      <c r="B13" s="46" t="s">
        <v>61</v>
      </c>
      <c r="C13" s="46">
        <f>SUM(C11:C12)</f>
        <v>221.82000000000016</v>
      </c>
      <c r="D13" s="46">
        <f>SUM(D11:D12)</f>
        <v>246.66000000000008</v>
      </c>
      <c r="E13" s="46">
        <f>SUM(E11:E12)</f>
        <v>511.76</v>
      </c>
      <c r="G13" s="47">
        <f t="shared" si="2"/>
        <v>0.11198268866648586</v>
      </c>
      <c r="H13" s="47">
        <f t="shared" si="0"/>
        <v>1.0747587772642495</v>
      </c>
      <c r="I13" s="46">
        <f t="shared" ref="I13:M13" ca="1" si="8">SUM(I11:I12)</f>
        <v>278.54779462093683</v>
      </c>
      <c r="J13" s="46">
        <f t="shared" ca="1" si="8"/>
        <v>288.73210168975351</v>
      </c>
      <c r="K13" s="46">
        <f t="shared" ca="1" si="8"/>
        <v>299.36969708692976</v>
      </c>
      <c r="L13" s="46">
        <f t="shared" ca="1" si="8"/>
        <v>310.49219804368209</v>
      </c>
      <c r="M13" s="46">
        <f t="shared" ca="1" si="8"/>
        <v>322.13388563030321</v>
      </c>
    </row>
    <row r="14" spans="2:19" x14ac:dyDescent="0.2">
      <c r="B14" s="23" t="s">
        <v>51</v>
      </c>
      <c r="C14" s="23">
        <f>-1*SUMIFS(Workings!$D:$D,Workings!$E:$E,'P&amp;L'!$B14,Workings!$B:$B,'P&amp;L'!C$4)</f>
        <v>-207.52</v>
      </c>
      <c r="D14" s="23">
        <f>-1*SUMIFS(Workings!$D:$D,Workings!$E:$E,'P&amp;L'!$B14,Workings!$B:$B,'P&amp;L'!D$4)</f>
        <v>-209.98</v>
      </c>
      <c r="E14" s="23">
        <f>-1*SUMIFS(Workings!$D:$D,Workings!$E:$E,'P&amp;L'!$B14,Workings!$B:$B,'P&amp;L'!E$4)</f>
        <v>-208.57999999999998</v>
      </c>
      <c r="G14" s="44">
        <f t="shared" si="2"/>
        <v>1.1854279105628196E-2</v>
      </c>
      <c r="H14" s="44">
        <f t="shared" si="0"/>
        <v>-6.6673016477759584E-3</v>
      </c>
      <c r="I14" s="23">
        <f ca="1">I13*I36</f>
        <v>-97.491728117327881</v>
      </c>
      <c r="J14" s="23">
        <f t="shared" ref="J14:M14" ca="1" si="9">J13*J36</f>
        <v>-101.05623559141372</v>
      </c>
      <c r="K14" s="23">
        <f t="shared" ca="1" si="9"/>
        <v>-104.77939398042541</v>
      </c>
      <c r="L14" s="23">
        <f t="shared" ca="1" si="9"/>
        <v>-108.67226931528873</v>
      </c>
      <c r="M14" s="23">
        <f t="shared" ca="1" si="9"/>
        <v>-112.74685997060611</v>
      </c>
    </row>
    <row r="15" spans="2:19" ht="11" thickBot="1" x14ac:dyDescent="0.3">
      <c r="B15" s="24" t="s">
        <v>62</v>
      </c>
      <c r="C15" s="24">
        <f>SUM(C13:C14)</f>
        <v>14.300000000000153</v>
      </c>
      <c r="D15" s="24">
        <f>SUM(D13:D14)</f>
        <v>36.680000000000092</v>
      </c>
      <c r="E15" s="24">
        <f>SUM(E13:E14)</f>
        <v>303.18</v>
      </c>
      <c r="G15" s="48">
        <f t="shared" si="2"/>
        <v>1.5650349650349438</v>
      </c>
      <c r="H15" s="48">
        <f t="shared" si="0"/>
        <v>7.2655398037077212</v>
      </c>
      <c r="I15" s="24">
        <f t="shared" ref="I15:M15" ca="1" si="10">SUM(I13:I14)</f>
        <v>181.05606650360895</v>
      </c>
      <c r="J15" s="24">
        <f t="shared" ca="1" si="10"/>
        <v>187.67586609833978</v>
      </c>
      <c r="K15" s="24">
        <f t="shared" ca="1" si="10"/>
        <v>194.59030310650434</v>
      </c>
      <c r="L15" s="24">
        <f t="shared" ca="1" si="10"/>
        <v>201.81992872839336</v>
      </c>
      <c r="M15" s="24">
        <f t="shared" ca="1" si="10"/>
        <v>209.38702565969709</v>
      </c>
    </row>
    <row r="17" spans="2:13" ht="10.5" x14ac:dyDescent="0.25">
      <c r="B17" s="28" t="s">
        <v>124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</row>
    <row r="18" spans="2:13" x14ac:dyDescent="0.2"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</row>
    <row r="19" spans="2:13" x14ac:dyDescent="0.2">
      <c r="B19" s="27" t="s">
        <v>125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</row>
    <row r="20" spans="2:13" ht="10.5" x14ac:dyDescent="0.25">
      <c r="B20" s="25" t="s">
        <v>130</v>
      </c>
      <c r="C20" s="27"/>
      <c r="D20" s="27"/>
      <c r="E20" s="27"/>
      <c r="F20" s="27"/>
      <c r="G20" s="27"/>
      <c r="H20" s="27"/>
      <c r="I20" s="31">
        <f>CHOOSE(MATCH($C$2,$B21:$B23,0),I21,I22,I23)</f>
        <v>0.02</v>
      </c>
      <c r="J20" s="31">
        <f t="shared" ref="J20:M20" ca="1" si="11">OFFSET(J20,MATCH($C$2,$B21:$B23,0),0)</f>
        <v>0.02</v>
      </c>
      <c r="K20" s="31">
        <f t="shared" ca="1" si="11"/>
        <v>0.02</v>
      </c>
      <c r="L20" s="31">
        <f t="shared" ca="1" si="11"/>
        <v>0.02</v>
      </c>
      <c r="M20" s="31">
        <f t="shared" ca="1" si="11"/>
        <v>0.02</v>
      </c>
    </row>
    <row r="21" spans="2:13" x14ac:dyDescent="0.2">
      <c r="B21" s="27" t="s">
        <v>126</v>
      </c>
      <c r="C21" s="29"/>
      <c r="D21" s="29"/>
      <c r="E21" s="29"/>
      <c r="F21" s="27"/>
      <c r="G21" s="27"/>
      <c r="H21" s="27"/>
      <c r="I21" s="32">
        <v>0.03</v>
      </c>
      <c r="J21" s="32">
        <v>0.03</v>
      </c>
      <c r="K21" s="32">
        <v>0.03</v>
      </c>
      <c r="L21" s="32">
        <v>0.03</v>
      </c>
      <c r="M21" s="32">
        <v>0.03</v>
      </c>
    </row>
    <row r="22" spans="2:13" x14ac:dyDescent="0.2">
      <c r="B22" s="27" t="s">
        <v>127</v>
      </c>
      <c r="C22" s="29"/>
      <c r="D22" s="29"/>
      <c r="E22" s="29"/>
      <c r="F22" s="27"/>
      <c r="G22" s="27"/>
      <c r="H22" s="27"/>
      <c r="I22" s="32">
        <v>0.02</v>
      </c>
      <c r="J22" s="32">
        <v>0.02</v>
      </c>
      <c r="K22" s="32">
        <v>0.02</v>
      </c>
      <c r="L22" s="32">
        <v>0.02</v>
      </c>
      <c r="M22" s="32">
        <v>0.02</v>
      </c>
    </row>
    <row r="23" spans="2:13" x14ac:dyDescent="0.2">
      <c r="B23" s="27" t="s">
        <v>128</v>
      </c>
      <c r="C23" s="29"/>
      <c r="D23" s="29"/>
      <c r="E23" s="29"/>
      <c r="F23" s="27"/>
      <c r="G23" s="27"/>
      <c r="H23" s="27"/>
      <c r="I23" s="32">
        <v>0.01</v>
      </c>
      <c r="J23" s="32">
        <v>0.01</v>
      </c>
      <c r="K23" s="32">
        <v>0.01</v>
      </c>
      <c r="L23" s="32">
        <v>0.01</v>
      </c>
      <c r="M23" s="32">
        <v>0.01</v>
      </c>
    </row>
    <row r="24" spans="2:13" x14ac:dyDescent="0.2">
      <c r="B24" s="27"/>
      <c r="C24" s="27"/>
      <c r="D24" s="27"/>
      <c r="E24" s="27"/>
      <c r="F24" s="27"/>
      <c r="G24" s="27"/>
      <c r="H24" s="27"/>
      <c r="I24" s="33"/>
      <c r="J24" s="33"/>
      <c r="K24" s="33"/>
      <c r="L24" s="33"/>
      <c r="M24" s="33"/>
    </row>
    <row r="25" spans="2:13" x14ac:dyDescent="0.2">
      <c r="B25" s="27" t="s">
        <v>131</v>
      </c>
      <c r="C25" s="27"/>
      <c r="D25" s="27"/>
      <c r="E25" s="27"/>
      <c r="F25" s="27"/>
      <c r="G25" s="27"/>
      <c r="H25" s="27"/>
      <c r="I25" s="33"/>
      <c r="J25" s="33"/>
      <c r="K25" s="33"/>
      <c r="L25" s="33"/>
      <c r="M25" s="33"/>
    </row>
    <row r="26" spans="2:13" ht="10.5" x14ac:dyDescent="0.25">
      <c r="B26" s="25" t="s">
        <v>130</v>
      </c>
      <c r="C26" s="27"/>
      <c r="D26" s="27"/>
      <c r="E26" s="27"/>
      <c r="F26" s="27"/>
      <c r="G26" s="27"/>
      <c r="H26" s="27"/>
      <c r="I26" s="31">
        <f t="shared" ref="I26:M26" ca="1" si="12">OFFSET(I26,MATCH($C$2,$B27:$B29,0),0)</f>
        <v>-0.46347184986595175</v>
      </c>
      <c r="J26" s="31">
        <f t="shared" ca="1" si="12"/>
        <v>-0.46347184986595175</v>
      </c>
      <c r="K26" s="31">
        <f t="shared" ca="1" si="12"/>
        <v>-0.46347184986595175</v>
      </c>
      <c r="L26" s="31">
        <f t="shared" ca="1" si="12"/>
        <v>-0.46347184986595175</v>
      </c>
      <c r="M26" s="31">
        <f t="shared" ca="1" si="12"/>
        <v>-0.46347184986595175</v>
      </c>
    </row>
    <row r="27" spans="2:13" x14ac:dyDescent="0.2">
      <c r="B27" s="27" t="s">
        <v>126</v>
      </c>
      <c r="C27" s="34">
        <f>C$6/C$5</f>
        <v>-0.47946611909650921</v>
      </c>
      <c r="D27" s="34">
        <f t="shared" ref="D27:E29" si="13">D$6/D$5</f>
        <v>-0.46347184986595175</v>
      </c>
      <c r="E27" s="34">
        <f t="shared" si="13"/>
        <v>-0.44967105263157897</v>
      </c>
      <c r="F27" s="27"/>
      <c r="G27" s="27"/>
      <c r="H27" s="27"/>
      <c r="I27" s="32">
        <f>_xlfn.QUARTILE.EXC($C27:$E27,3)</f>
        <v>-0.44967105263157897</v>
      </c>
      <c r="J27" s="32">
        <f t="shared" ref="J27:M27" si="14">_xlfn.QUARTILE.EXC($C27:$E27,3)</f>
        <v>-0.44967105263157897</v>
      </c>
      <c r="K27" s="32">
        <f t="shared" si="14"/>
        <v>-0.44967105263157897</v>
      </c>
      <c r="L27" s="32">
        <f t="shared" si="14"/>
        <v>-0.44967105263157897</v>
      </c>
      <c r="M27" s="32">
        <f t="shared" si="14"/>
        <v>-0.44967105263157897</v>
      </c>
    </row>
    <row r="28" spans="2:13" x14ac:dyDescent="0.2">
      <c r="B28" s="27" t="s">
        <v>127</v>
      </c>
      <c r="C28" s="34">
        <f t="shared" ref="C28:C29" si="15">C$6/C$5</f>
        <v>-0.47946611909650921</v>
      </c>
      <c r="D28" s="34">
        <f t="shared" si="13"/>
        <v>-0.46347184986595175</v>
      </c>
      <c r="E28" s="34">
        <f t="shared" si="13"/>
        <v>-0.44967105263157897</v>
      </c>
      <c r="F28" s="27"/>
      <c r="G28" s="27"/>
      <c r="H28" s="27"/>
      <c r="I28" s="32">
        <f>_xlfn.QUARTILE.EXC($C28:$E28,2)</f>
        <v>-0.46347184986595175</v>
      </c>
      <c r="J28" s="32">
        <f t="shared" ref="J28:M28" si="16">_xlfn.QUARTILE.EXC($C28:$E28,2)</f>
        <v>-0.46347184986595175</v>
      </c>
      <c r="K28" s="32">
        <f t="shared" si="16"/>
        <v>-0.46347184986595175</v>
      </c>
      <c r="L28" s="32">
        <f t="shared" si="16"/>
        <v>-0.46347184986595175</v>
      </c>
      <c r="M28" s="32">
        <f t="shared" si="16"/>
        <v>-0.46347184986595175</v>
      </c>
    </row>
    <row r="29" spans="2:13" x14ac:dyDescent="0.2">
      <c r="B29" s="27" t="s">
        <v>128</v>
      </c>
      <c r="C29" s="34">
        <f t="shared" si="15"/>
        <v>-0.47946611909650921</v>
      </c>
      <c r="D29" s="34">
        <f t="shared" si="13"/>
        <v>-0.46347184986595175</v>
      </c>
      <c r="E29" s="34">
        <f t="shared" si="13"/>
        <v>-0.44967105263157897</v>
      </c>
      <c r="F29" s="27"/>
      <c r="G29" s="27"/>
      <c r="H29" s="27"/>
      <c r="I29" s="32">
        <f>_xlfn.QUARTILE.EXC($C29:$E29,1)</f>
        <v>-0.47946611909650921</v>
      </c>
      <c r="J29" s="32">
        <f t="shared" ref="J29:M29" si="17">_xlfn.QUARTILE.EXC($C29:$E29,1)</f>
        <v>-0.47946611909650921</v>
      </c>
      <c r="K29" s="32">
        <f t="shared" si="17"/>
        <v>-0.47946611909650921</v>
      </c>
      <c r="L29" s="32">
        <f t="shared" si="17"/>
        <v>-0.47946611909650921</v>
      </c>
      <c r="M29" s="32">
        <f t="shared" si="17"/>
        <v>-0.47946611909650921</v>
      </c>
    </row>
    <row r="30" spans="2:13" x14ac:dyDescent="0.2">
      <c r="B30" s="27"/>
      <c r="C30" s="33"/>
      <c r="D30" s="33"/>
      <c r="E30" s="33"/>
      <c r="F30" s="27"/>
      <c r="G30" s="27"/>
      <c r="H30" s="27"/>
      <c r="I30" s="33"/>
      <c r="J30" s="33"/>
      <c r="K30" s="33"/>
      <c r="L30" s="33"/>
      <c r="M30" s="33"/>
    </row>
    <row r="31" spans="2:13" x14ac:dyDescent="0.2">
      <c r="B31" s="27" t="s">
        <v>129</v>
      </c>
      <c r="C31" s="33"/>
      <c r="D31" s="33"/>
      <c r="E31" s="33"/>
      <c r="F31" s="27"/>
      <c r="G31" s="27"/>
      <c r="H31" s="27"/>
      <c r="I31" s="30">
        <f t="shared" ref="I31:M31" ca="1" si="18">OFFSET(I31,MATCH($C$2,$B32:$B34,0),0)</f>
        <v>-0.41484599589322374</v>
      </c>
      <c r="J31" s="30">
        <f t="shared" ca="1" si="18"/>
        <v>-0.41484599589322374</v>
      </c>
      <c r="K31" s="30">
        <f t="shared" ca="1" si="18"/>
        <v>-0.41484599589322374</v>
      </c>
      <c r="L31" s="30">
        <f t="shared" ca="1" si="18"/>
        <v>-0.41484599589322374</v>
      </c>
      <c r="M31" s="30">
        <f t="shared" ca="1" si="18"/>
        <v>-0.41484599589322374</v>
      </c>
    </row>
    <row r="32" spans="2:13" x14ac:dyDescent="0.2">
      <c r="B32" s="27" t="s">
        <v>126</v>
      </c>
      <c r="C32" s="34">
        <f>C$8/C$5</f>
        <v>-0.41484599589322374</v>
      </c>
      <c r="D32" s="34">
        <f t="shared" ref="D32:E34" si="19">D$8/D$5</f>
        <v>-0.4173391420911528</v>
      </c>
      <c r="E32" s="34">
        <f t="shared" si="19"/>
        <v>-0.35139473684210526</v>
      </c>
      <c r="F32" s="27"/>
      <c r="G32" s="27"/>
      <c r="H32" s="27"/>
      <c r="I32" s="32">
        <f>_xlfn.QUARTILE.EXC($C32:$E32,3)</f>
        <v>-0.35139473684210526</v>
      </c>
      <c r="J32" s="32">
        <f t="shared" ref="J32:M32" si="20">_xlfn.QUARTILE.EXC($C32:$E32,3)</f>
        <v>-0.35139473684210526</v>
      </c>
      <c r="K32" s="32">
        <f t="shared" si="20"/>
        <v>-0.35139473684210526</v>
      </c>
      <c r="L32" s="32">
        <f t="shared" si="20"/>
        <v>-0.35139473684210526</v>
      </c>
      <c r="M32" s="32">
        <f t="shared" si="20"/>
        <v>-0.35139473684210526</v>
      </c>
    </row>
    <row r="33" spans="2:13" x14ac:dyDescent="0.2">
      <c r="B33" s="27" t="s">
        <v>127</v>
      </c>
      <c r="C33" s="34">
        <f t="shared" ref="C33:C34" si="21">C$8/C$5</f>
        <v>-0.41484599589322374</v>
      </c>
      <c r="D33" s="34">
        <f t="shared" si="19"/>
        <v>-0.4173391420911528</v>
      </c>
      <c r="E33" s="34">
        <f t="shared" si="19"/>
        <v>-0.35139473684210526</v>
      </c>
      <c r="F33" s="27"/>
      <c r="G33" s="27"/>
      <c r="H33" s="27"/>
      <c r="I33" s="32">
        <f>_xlfn.QUARTILE.EXC($C33:$E33,2)</f>
        <v>-0.41484599589322374</v>
      </c>
      <c r="J33" s="32">
        <f t="shared" ref="J33:M33" si="22">_xlfn.QUARTILE.EXC($C33:$E33,2)</f>
        <v>-0.41484599589322374</v>
      </c>
      <c r="K33" s="32">
        <f t="shared" si="22"/>
        <v>-0.41484599589322374</v>
      </c>
      <c r="L33" s="32">
        <f t="shared" si="22"/>
        <v>-0.41484599589322374</v>
      </c>
      <c r="M33" s="32">
        <f t="shared" si="22"/>
        <v>-0.41484599589322374</v>
      </c>
    </row>
    <row r="34" spans="2:13" x14ac:dyDescent="0.2">
      <c r="B34" s="27" t="s">
        <v>128</v>
      </c>
      <c r="C34" s="34">
        <f t="shared" si="21"/>
        <v>-0.41484599589322374</v>
      </c>
      <c r="D34" s="34">
        <f t="shared" si="19"/>
        <v>-0.4173391420911528</v>
      </c>
      <c r="E34" s="34">
        <f t="shared" si="19"/>
        <v>-0.35139473684210526</v>
      </c>
      <c r="F34" s="27"/>
      <c r="G34" s="27"/>
      <c r="H34" s="27"/>
      <c r="I34" s="32">
        <f>_xlfn.QUARTILE.EXC($C34:$E34,1)</f>
        <v>-0.4173391420911528</v>
      </c>
      <c r="J34" s="32">
        <f t="shared" ref="J34:M34" si="23">_xlfn.QUARTILE.EXC($C34:$E34,1)</f>
        <v>-0.4173391420911528</v>
      </c>
      <c r="K34" s="32">
        <f t="shared" si="23"/>
        <v>-0.4173391420911528</v>
      </c>
      <c r="L34" s="32">
        <f t="shared" si="23"/>
        <v>-0.4173391420911528</v>
      </c>
      <c r="M34" s="32">
        <f t="shared" si="23"/>
        <v>-0.4173391420911528</v>
      </c>
    </row>
    <row r="35" spans="2:13" x14ac:dyDescent="0.2"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</row>
    <row r="36" spans="2:13" x14ac:dyDescent="0.2">
      <c r="B36" s="27" t="s">
        <v>158</v>
      </c>
      <c r="C36" s="27"/>
      <c r="D36" s="27"/>
      <c r="E36" s="27"/>
      <c r="F36" s="27"/>
      <c r="G36" s="27"/>
      <c r="H36" s="27"/>
      <c r="I36" s="49">
        <v>-0.35</v>
      </c>
      <c r="J36" s="49">
        <v>-0.35</v>
      </c>
      <c r="K36" s="49">
        <v>-0.35</v>
      </c>
      <c r="L36" s="49">
        <v>-0.35</v>
      </c>
      <c r="M36" s="49">
        <v>-0.35</v>
      </c>
    </row>
    <row r="37" spans="2:13" x14ac:dyDescent="0.2"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</row>
  </sheetData>
  <mergeCells count="1">
    <mergeCell ref="I3:M3"/>
  </mergeCells>
  <conditionalFormatting sqref="G5:H15">
    <cfRule type="iconSet" priority="1">
      <iconSet>
        <cfvo type="percent" val="0"/>
        <cfvo type="num" val="0"/>
        <cfvo type="num" val="0.1"/>
      </iconSet>
    </cfRule>
  </conditionalFormatting>
  <dataValidations count="1">
    <dataValidation type="list" allowBlank="1" showInputMessage="1" showErrorMessage="1" sqref="C2" xr:uid="{2E48647C-6A92-4CC5-A168-EC9B49B65B23}">
      <formula1>$B$21:$B$23</formula1>
    </dataValidation>
  </dataValidations>
  <pageMargins left="0.7" right="0.7" top="0.75" bottom="0.75" header="0.3" footer="0.3"/>
  <pageSetup paperSize="9" orientation="portrait" verticalDpi="0" r:id="rId1"/>
  <ignoredErrors>
    <ignoredError sqref="C8:E14 I7:M7 I9:M9 I11:M11 I13:M13 I15:M15 I10:M10 I12:M12 I14:M14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A8BD1-DB7D-4354-BC40-2225548075C8}">
  <dimension ref="B1:J25"/>
  <sheetViews>
    <sheetView showGridLines="0" workbookViewId="0">
      <selection activeCell="B3" sqref="B3:B4"/>
    </sheetView>
  </sheetViews>
  <sheetFormatPr defaultRowHeight="10" x14ac:dyDescent="0.2"/>
  <cols>
    <col min="1" max="1" width="2.7265625" style="20" customWidth="1"/>
    <col min="2" max="2" width="20.36328125" style="20" customWidth="1"/>
    <col min="3" max="5" width="10.1796875" style="20" bestFit="1" customWidth="1"/>
    <col min="6" max="6" width="10.26953125" style="20" bestFit="1" customWidth="1"/>
    <col min="7" max="10" width="9.1796875" style="20" bestFit="1" customWidth="1"/>
    <col min="11" max="16384" width="8.7265625" style="20"/>
  </cols>
  <sheetData>
    <row r="1" spans="2:10" ht="10.5" x14ac:dyDescent="0.25">
      <c r="B1" s="50" t="s">
        <v>120</v>
      </c>
    </row>
    <row r="2" spans="2:10" ht="10.5" x14ac:dyDescent="0.25">
      <c r="F2" s="60" t="s">
        <v>123</v>
      </c>
      <c r="G2" s="60"/>
      <c r="H2" s="60"/>
      <c r="I2" s="60"/>
      <c r="J2" s="60"/>
    </row>
    <row r="3" spans="2:10" ht="11" thickBot="1" x14ac:dyDescent="0.3">
      <c r="B3" s="21" t="s">
        <v>63</v>
      </c>
      <c r="C3" s="22">
        <v>42004</v>
      </c>
      <c r="D3" s="22">
        <v>42369</v>
      </c>
      <c r="E3" s="22">
        <v>42735</v>
      </c>
      <c r="F3" s="22">
        <v>43100</v>
      </c>
      <c r="G3" s="22">
        <v>43465</v>
      </c>
      <c r="H3" s="22">
        <v>43830</v>
      </c>
      <c r="I3" s="22">
        <v>44196</v>
      </c>
      <c r="J3" s="22">
        <v>44561</v>
      </c>
    </row>
    <row r="4" spans="2:10" x14ac:dyDescent="0.2">
      <c r="B4" s="23" t="s">
        <v>72</v>
      </c>
      <c r="C4" s="39">
        <f>INDEX('BS 2014'!$B:$D,MATCH(BS!$B4,'BS 2014'!$B:$B,0),MATCH(C$3,'BS 2014'!B$1:D$1,0))</f>
        <v>143.9</v>
      </c>
      <c r="D4" s="39">
        <f>INDEX('BS 2015'!$B:$D,MATCH(BS!$B4,'BS 2015'!$B:$B,0),MATCH(D$3,'BS 2015'!$B$1:$D$1,0))</f>
        <v>154.80000000000001</v>
      </c>
      <c r="E4" s="39">
        <f>INDEX('BS 2016'!$B:$E,MATCH(BS!$B4,'BS 2016'!$B:$B,0),MATCH(E$3,'BS 2016'!$B$1:$E$1,0))</f>
        <v>169.3</v>
      </c>
      <c r="F4" s="39">
        <f>F18*'P&amp;L'!I5/360</f>
        <v>162.08352519575084</v>
      </c>
      <c r="G4" s="39">
        <f ca="1">G18*'P&amp;L'!J5/360</f>
        <v>165.32519569966584</v>
      </c>
      <c r="H4" s="39">
        <f ca="1">H18*'P&amp;L'!K5/360</f>
        <v>168.63169961365915</v>
      </c>
      <c r="I4" s="39">
        <f ca="1">I18*'P&amp;L'!L5/360</f>
        <v>172.00433360593235</v>
      </c>
      <c r="J4" s="39">
        <f ca="1">J18*'P&amp;L'!M5/360</f>
        <v>175.44442027805098</v>
      </c>
    </row>
    <row r="5" spans="2:10" x14ac:dyDescent="0.2">
      <c r="B5" s="23" t="s">
        <v>78</v>
      </c>
      <c r="C5" s="39">
        <f>INDEX('BS 2014'!$B:$D,MATCH(BS!$B5,'BS 2014'!$B:$B,0),MATCH(C$3,'BS 2014'!B$1:D$1,0))</f>
        <v>84.999999999999986</v>
      </c>
      <c r="D5" s="39">
        <f>INDEX('BS 2015'!$B:$D,MATCH(BS!$B5,'BS 2015'!$B:$B,0),MATCH(D$3,'BS 2015'!$B$1:$D$1,0))</f>
        <v>92.000000000000014</v>
      </c>
      <c r="E5" s="39">
        <f>INDEX('BS 2016'!$B:$E,MATCH(BS!$B5,'BS 2016'!$B:$B,0),MATCH(E$3,'BS 2016'!$B$1:$E$1,0))</f>
        <v>110</v>
      </c>
      <c r="F5" s="39">
        <f ca="1">-F20*'P&amp;L'!I$6/360</f>
        <v>99.478947610825202</v>
      </c>
      <c r="G5" s="39">
        <f ca="1">-G20*'P&amp;L'!J$6/360</f>
        <v>101.46852656304171</v>
      </c>
      <c r="H5" s="39">
        <f ca="1">-H20*'P&amp;L'!K$6/360</f>
        <v>103.49789709430253</v>
      </c>
      <c r="I5" s="39">
        <f ca="1">-I20*'P&amp;L'!L$6/360</f>
        <v>105.56785503618859</v>
      </c>
      <c r="J5" s="39">
        <f ca="1">-J20*'P&amp;L'!M$6/360</f>
        <v>107.67921213691237</v>
      </c>
    </row>
    <row r="6" spans="2:10" x14ac:dyDescent="0.2">
      <c r="B6" s="23" t="s">
        <v>83</v>
      </c>
      <c r="C6" s="39">
        <f>INDEX('BS 2014'!$B:$D,MATCH(BS!$B6,'BS 2014'!$B:$B,0),MATCH(C$3,'BS 2014'!B$1:D$1,0))</f>
        <v>632.5</v>
      </c>
      <c r="D6" s="39">
        <f>INDEX('BS 2015'!$B:$D,MATCH(BS!$B6,'BS 2015'!$B:$B,0),MATCH(D$3,'BS 2015'!$B$1:$D$1,0))</f>
        <v>632.5</v>
      </c>
      <c r="E6" s="39">
        <f>INDEX('BS 2016'!$B:$E,MATCH(BS!$B6,'BS 2016'!$B:$B,0),MATCH(E$3,'BS 2016'!$B$1:$E$1,0))</f>
        <v>659.5</v>
      </c>
      <c r="F6" s="39">
        <f>'Fixed Asset Roll Forward'!F7</f>
        <v>673.57628458498027</v>
      </c>
      <c r="G6" s="39">
        <f>'Fixed Asset Roll Forward'!G7</f>
        <v>687.95301160774272</v>
      </c>
      <c r="H6" s="39">
        <f>'Fixed Asset Roll Forward'!H7</f>
        <v>702.6365936736787</v>
      </c>
      <c r="I6" s="39">
        <f>'Fixed Asset Roll Forward'!I7</f>
        <v>717.63358025801801</v>
      </c>
      <c r="J6" s="39">
        <f>'Fixed Asset Roll Forward'!J7</f>
        <v>732.95066062716148</v>
      </c>
    </row>
    <row r="7" spans="2:10" x14ac:dyDescent="0.2">
      <c r="B7" s="23" t="s">
        <v>87</v>
      </c>
      <c r="C7" s="39">
        <f>INDEX('BS 2014'!$B:$D,MATCH(BS!$B7,'BS 2014'!$B:$B,0),MATCH(C$3,'BS 2014'!B$1:D$1,0))</f>
        <v>24.8</v>
      </c>
      <c r="D7" s="39">
        <f>INDEX('BS 2015'!$B:$D,MATCH(BS!$B7,'BS 2015'!$B:$B,0),MATCH(D$3,'BS 2015'!$B$1:$D$1,0))</f>
        <v>21.8</v>
      </c>
      <c r="E7" s="39">
        <f>INDEX('BS 2016'!$B:$E,MATCH(BS!$B7,'BS 2016'!$B:$B,0),MATCH(E$3,'BS 2016'!$B$1:$E$1,0))</f>
        <v>220</v>
      </c>
      <c r="F7" s="39">
        <f ca="1">E7+'Cash Flow'!C18</f>
        <v>313.6435726606357</v>
      </c>
      <c r="G7" s="39">
        <f ca="1">F7+'Cash Flow'!D18</f>
        <v>364.45545444113316</v>
      </c>
      <c r="H7" s="39">
        <f ca="1">G7+'Cash Flow'!E18</f>
        <v>415.12245108590503</v>
      </c>
      <c r="I7" s="39">
        <f ca="1">H7+'Cash Flow'!F18</f>
        <v>465.47394057477692</v>
      </c>
      <c r="J7" s="39">
        <f ca="1">I7+'Cash Flow'!G18</f>
        <v>515.32085633150336</v>
      </c>
    </row>
    <row r="8" spans="2:10" x14ac:dyDescent="0.2">
      <c r="B8" s="23" t="s">
        <v>88</v>
      </c>
      <c r="C8" s="39">
        <f>INDEX('BS 2014'!$B:$D,MATCH(BS!$B8,'BS 2014'!$B:$B,0),MATCH(C$3,'BS 2014'!B$1:D$1,0))</f>
        <v>45.9</v>
      </c>
      <c r="D8" s="39">
        <f>INDEX('BS 2015'!$B:$D,MATCH(BS!$B8,'BS 2015'!$B:$B,0),MATCH(D$3,'BS 2015'!$B$1:$D$1,0))</f>
        <v>46.9</v>
      </c>
      <c r="E8" s="39">
        <f>INDEX('BS 2016'!$B:$E,MATCH(BS!$B8,'BS 2016'!$B:$B,0),MATCH(E$3,'BS 2016'!$B$1:$E$1,0))</f>
        <v>68</v>
      </c>
      <c r="F8" s="39">
        <f>F21*'P&amp;L'!I$5</f>
        <v>55.601476457602764</v>
      </c>
      <c r="G8" s="39">
        <f ca="1">G21*'P&amp;L'!J5</f>
        <v>56.713505986754825</v>
      </c>
      <c r="H8" s="39">
        <f ca="1">H21*'P&amp;L'!K5</f>
        <v>57.847776106489917</v>
      </c>
      <c r="I8" s="39">
        <f ca="1">I21*'P&amp;L'!L5</f>
        <v>59.004731628619716</v>
      </c>
      <c r="J8" s="39">
        <f ca="1">J21*'P&amp;L'!M5</f>
        <v>60.184826261192114</v>
      </c>
    </row>
    <row r="9" spans="2:10" ht="11" thickBot="1" x14ac:dyDescent="0.3">
      <c r="B9" s="24" t="s">
        <v>121</v>
      </c>
      <c r="C9" s="24">
        <f>SUM(C4:C8)</f>
        <v>932.09999999999991</v>
      </c>
      <c r="D9" s="24">
        <f t="shared" ref="D9:E9" si="0">SUM(D4:D8)</f>
        <v>947.99999999999989</v>
      </c>
      <c r="E9" s="24">
        <f t="shared" si="0"/>
        <v>1226.8</v>
      </c>
      <c r="F9" s="24">
        <f t="shared" ref="F9" ca="1" si="1">SUM(F4:F8)</f>
        <v>1304.3838065097948</v>
      </c>
      <c r="G9" s="24">
        <f t="shared" ref="G9" ca="1" si="2">SUM(G4:G8)</f>
        <v>1375.9156942983384</v>
      </c>
      <c r="H9" s="24">
        <f t="shared" ref="H9" ca="1" si="3">SUM(H4:H8)</f>
        <v>1447.7364175740352</v>
      </c>
      <c r="I9" s="24">
        <f t="shared" ref="I9" ca="1" si="4">SUM(I4:I8)</f>
        <v>1519.6844411035356</v>
      </c>
      <c r="J9" s="24">
        <f t="shared" ref="J9" ca="1" si="5">SUM(J4:J8)</f>
        <v>1591.5799756348201</v>
      </c>
    </row>
    <row r="10" spans="2:10" x14ac:dyDescent="0.2">
      <c r="B10" s="23"/>
      <c r="C10" s="23"/>
      <c r="D10" s="23"/>
      <c r="E10" s="39"/>
      <c r="F10" s="39"/>
      <c r="G10" s="39"/>
      <c r="H10" s="39"/>
      <c r="I10" s="39"/>
      <c r="J10" s="39"/>
    </row>
    <row r="11" spans="2:10" x14ac:dyDescent="0.2">
      <c r="B11" s="23" t="s">
        <v>95</v>
      </c>
      <c r="C11" s="39">
        <f>INDEX('BS 2014'!$B:$D,MATCH(BS!$B11,'BS 2014'!$B:$B,0),MATCH(C$3,'BS 2014'!B$1:D$1,0))</f>
        <v>68</v>
      </c>
      <c r="D11" s="39">
        <f>INDEX('BS 2015'!$B:$D,MATCH(BS!$B11,'BS 2015'!$B:$B,0),MATCH(D$3,'BS 2015'!$B$1:$D$1,0))</f>
        <v>68.900000000000006</v>
      </c>
      <c r="E11" s="39">
        <f>INDEX('BS 2016'!$B:$E,MATCH(BS!$B11,'BS 2016'!$B:$B,0),MATCH(E$3,'BS 2016'!$B$1:$E$1,0))</f>
        <v>68.900000000000006</v>
      </c>
      <c r="F11" s="39">
        <f ca="1">-F19*'P&amp;L'!I$6/360</f>
        <v>71.261862282301522</v>
      </c>
      <c r="G11" s="39">
        <f ca="1">-G19*'P&amp;L'!J$6/360</f>
        <v>72.687099527947566</v>
      </c>
      <c r="H11" s="39">
        <f ca="1">-H19*'P&amp;L'!K$6/360</f>
        <v>74.140841518506505</v>
      </c>
      <c r="I11" s="39">
        <f ca="1">-I19*'P&amp;L'!L$6/360</f>
        <v>75.623658348876646</v>
      </c>
      <c r="J11" s="39">
        <f ca="1">-J19*'P&amp;L'!M$6/360</f>
        <v>77.136131515854174</v>
      </c>
    </row>
    <row r="12" spans="2:10" x14ac:dyDescent="0.2">
      <c r="B12" s="23" t="s">
        <v>99</v>
      </c>
      <c r="C12" s="39">
        <f>INDEX('BS 2014'!$B:$D,MATCH(BS!$B12,'BS 2014'!$B:$B,0),MATCH(C$3,'BS 2014'!B$1:D$1,0))</f>
        <v>32.5</v>
      </c>
      <c r="D12" s="39">
        <f>INDEX('BS 2015'!$B:$D,MATCH(BS!$B12,'BS 2015'!$B:$B,0),MATCH(D$3,'BS 2015'!$B$1:$D$1,0))</f>
        <v>28.699999999999996</v>
      </c>
      <c r="E12" s="39">
        <f>INDEX('BS 2016'!$B:$E,MATCH(BS!$B12,'BS 2016'!$B:$B,0),MATCH(E$3,'BS 2016'!$B$1:$E$1,0))</f>
        <v>28.699999999999996</v>
      </c>
      <c r="F12" s="39">
        <f>E12</f>
        <v>28.699999999999996</v>
      </c>
      <c r="G12" s="39">
        <f t="shared" ref="G12:J12" si="6">F12</f>
        <v>28.699999999999996</v>
      </c>
      <c r="H12" s="39">
        <f t="shared" si="6"/>
        <v>28.699999999999996</v>
      </c>
      <c r="I12" s="39">
        <f t="shared" si="6"/>
        <v>28.699999999999996</v>
      </c>
      <c r="J12" s="39">
        <f t="shared" si="6"/>
        <v>28.699999999999996</v>
      </c>
    </row>
    <row r="13" spans="2:10" x14ac:dyDescent="0.2">
      <c r="B13" s="23" t="s">
        <v>101</v>
      </c>
      <c r="C13" s="39">
        <f>INDEX('BS 2014'!$B:$D,MATCH(BS!$B13,'BS 2014'!$B:$B,0),MATCH(C$3,'BS 2014'!B$1:D$1,0))</f>
        <v>615.79999999999995</v>
      </c>
      <c r="D13" s="39">
        <f>INDEX('BS 2015'!$B:$D,MATCH(BS!$B13,'BS 2015'!$B:$B,0),MATCH(D$3,'BS 2015'!$B$1:$D$1,0))</f>
        <v>610.4</v>
      </c>
      <c r="E13" s="39">
        <f>INDEX('BS 2016'!$B:$E,MATCH(BS!$B13,'BS 2016'!$B:$B,0),MATCH(E$3,'BS 2016'!$B$1:$E$1,0))</f>
        <v>605</v>
      </c>
      <c r="F13" s="39">
        <f>'Financial Liablity'!F7</f>
        <v>565.17884560503455</v>
      </c>
      <c r="G13" s="39">
        <f>'Financial Liablity'!G7</f>
        <v>521.77378731452222</v>
      </c>
      <c r="H13" s="39">
        <f>'Financial Liablity'!H7</f>
        <v>474.4622737778638</v>
      </c>
      <c r="I13" s="39">
        <f>'Financial Liablity'!I7</f>
        <v>422.89272402290612</v>
      </c>
      <c r="J13" s="39">
        <f>'Financial Liablity'!J7</f>
        <v>366.68191479000222</v>
      </c>
    </row>
    <row r="14" spans="2:10" x14ac:dyDescent="0.2">
      <c r="B14" s="23" t="s">
        <v>102</v>
      </c>
      <c r="C14" s="39">
        <f>INDEX('BS 2014'!$B:$D,MATCH(BS!$B14,'BS 2014'!$B:$B,0),MATCH(C$3,'BS 2014'!B$1:D$1,0))</f>
        <v>48.3</v>
      </c>
      <c r="D14" s="39">
        <f>INDEX('BS 2015'!$B:$D,MATCH(BS!$B14,'BS 2015'!$B:$B,0),MATCH(D$3,'BS 2015'!$B$1:$D$1,0))</f>
        <v>43.3</v>
      </c>
      <c r="E14" s="39">
        <f>INDEX('BS 2016'!$B:$E,MATCH(BS!$B14,'BS 2016'!$B:$B,0),MATCH(E$3,'BS 2016'!$B$1:$E$1,0))</f>
        <v>38.9</v>
      </c>
      <c r="F14" s="39">
        <f>F22*'P&amp;L'!I$5</f>
        <v>45.309458720293307</v>
      </c>
      <c r="G14" s="39">
        <f ca="1">G22*'P&amp;L'!J$5</f>
        <v>46.215647894699174</v>
      </c>
      <c r="H14" s="39">
        <f ca="1">H22*'P&amp;L'!K$5</f>
        <v>47.139960852593163</v>
      </c>
      <c r="I14" s="39">
        <f ca="1">I22*'P&amp;L'!L$5</f>
        <v>48.082760069645026</v>
      </c>
      <c r="J14" s="39">
        <f ca="1">J22*'P&amp;L'!M$5</f>
        <v>49.044415271037927</v>
      </c>
    </row>
    <row r="15" spans="2:10" x14ac:dyDescent="0.2">
      <c r="B15" s="23" t="s">
        <v>106</v>
      </c>
      <c r="C15" s="39">
        <f>INDEX('BS 2014'!$B:$D,MATCH(BS!$B15,'BS 2014'!$B:$B,0),MATCH(C$3,'BS 2014'!B$1:D$1,0))</f>
        <v>167.50000000000003</v>
      </c>
      <c r="D15" s="39">
        <f>INDEX('BS 2015'!$B:$D,MATCH(BS!$B15,'BS 2015'!$B:$B,0),MATCH(D$3,'BS 2015'!$B$1:$D$1,0))</f>
        <v>196.7</v>
      </c>
      <c r="E15" s="39">
        <f>INDEX('BS 2016'!$B:$E,MATCH(BS!$B15,'BS 2016'!$B:$B,0),MATCH(E$3,'BS 2016'!$B$1:$E$1,0))</f>
        <v>485.3</v>
      </c>
      <c r="F15" s="39">
        <f ca="1">'Equity Schedule'!F8</f>
        <v>593.9336399021654</v>
      </c>
      <c r="G15" s="39">
        <f ca="1">'Equity Schedule'!G8</f>
        <v>706.5391595611693</v>
      </c>
      <c r="H15" s="39">
        <f ca="1">'Equity Schedule'!H8</f>
        <v>823.29334142507184</v>
      </c>
      <c r="I15" s="39">
        <f ca="1">'Equity Schedule'!I8</f>
        <v>944.38529866210786</v>
      </c>
      <c r="J15" s="39">
        <f ca="1">'Equity Schedule'!J8</f>
        <v>1070.0175140579261</v>
      </c>
    </row>
    <row r="16" spans="2:10" ht="11" thickBot="1" x14ac:dyDescent="0.3">
      <c r="B16" s="24" t="s">
        <v>122</v>
      </c>
      <c r="C16" s="24">
        <f>SUM(C11:C15)</f>
        <v>932.09999999999991</v>
      </c>
      <c r="D16" s="24">
        <f t="shared" ref="D16:E16" si="7">SUM(D11:D15)</f>
        <v>948</v>
      </c>
      <c r="E16" s="24">
        <f t="shared" si="7"/>
        <v>1226.8</v>
      </c>
      <c r="F16" s="24">
        <f t="shared" ref="F16" ca="1" si="8">SUM(F11:F15)</f>
        <v>1304.3838065097948</v>
      </c>
      <c r="G16" s="24">
        <f t="shared" ref="G16" ca="1" si="9">SUM(G11:G15)</f>
        <v>1375.9156942983382</v>
      </c>
      <c r="H16" s="24">
        <f t="shared" ref="H16" ca="1" si="10">SUM(H11:H15)</f>
        <v>1447.7364175740354</v>
      </c>
      <c r="I16" s="24">
        <f t="shared" ref="I16" ca="1" si="11">SUM(I11:I15)</f>
        <v>1519.6844411035356</v>
      </c>
      <c r="J16" s="24">
        <f t="shared" ref="J16" ca="1" si="12">SUM(J11:J15)</f>
        <v>1591.5799756348204</v>
      </c>
    </row>
    <row r="18" spans="2:10" x14ac:dyDescent="0.2">
      <c r="B18" s="27" t="s">
        <v>133</v>
      </c>
      <c r="C18" s="30">
        <f>C4/'P&amp;L'!C5*360</f>
        <v>17.728952772073921</v>
      </c>
      <c r="D18" s="30">
        <f>D4/'P&amp;L'!D5*360</f>
        <v>18.675603217158177</v>
      </c>
      <c r="E18" s="30">
        <f>E4/'P&amp;L'!E5*360</f>
        <v>20.048684210526318</v>
      </c>
      <c r="F18" s="30">
        <f>AVERAGE($C18:$E18)</f>
        <v>18.817746733252804</v>
      </c>
      <c r="G18" s="30">
        <f t="shared" ref="G18:J22" si="13">AVERAGE($C18:$E18)</f>
        <v>18.817746733252804</v>
      </c>
      <c r="H18" s="30">
        <f t="shared" si="13"/>
        <v>18.817746733252804</v>
      </c>
      <c r="I18" s="30">
        <f t="shared" si="13"/>
        <v>18.817746733252804</v>
      </c>
      <c r="J18" s="30">
        <f t="shared" si="13"/>
        <v>18.817746733252804</v>
      </c>
    </row>
    <row r="19" spans="2:10" x14ac:dyDescent="0.2">
      <c r="B19" s="27" t="s">
        <v>134</v>
      </c>
      <c r="C19" s="30">
        <f>-1*C11/'P&amp;L'!C$6*360</f>
        <v>17.473233404710921</v>
      </c>
      <c r="D19" s="30">
        <f>-1*D11/'P&amp;L'!D$6*360</f>
        <v>17.934924078091107</v>
      </c>
      <c r="E19" s="30">
        <f>-1*E11/'P&amp;L'!E$6*360</f>
        <v>18.144842721287493</v>
      </c>
      <c r="F19" s="30">
        <f t="shared" ref="F19:F22" si="14">AVERAGE($C19:$E19)</f>
        <v>17.851000068029837</v>
      </c>
      <c r="G19" s="30">
        <f t="shared" si="13"/>
        <v>17.851000068029837</v>
      </c>
      <c r="H19" s="30">
        <f t="shared" si="13"/>
        <v>17.851000068029837</v>
      </c>
      <c r="I19" s="30">
        <f t="shared" si="13"/>
        <v>17.851000068029837</v>
      </c>
      <c r="J19" s="30">
        <f t="shared" si="13"/>
        <v>17.851000068029837</v>
      </c>
    </row>
    <row r="20" spans="2:10" x14ac:dyDescent="0.2">
      <c r="B20" s="27" t="s">
        <v>135</v>
      </c>
      <c r="C20" s="30">
        <f>-1*C5/'P&amp;L'!C$6*360</f>
        <v>21.841541755888645</v>
      </c>
      <c r="D20" s="30">
        <f>-1*D5/'P&amp;L'!D$6*360</f>
        <v>23.94793926247289</v>
      </c>
      <c r="E20" s="30">
        <f>-1*E5/'P&amp;L'!E$6*360</f>
        <v>28.96854425749817</v>
      </c>
      <c r="F20" s="30">
        <f t="shared" si="14"/>
        <v>24.919341758619904</v>
      </c>
      <c r="G20" s="30">
        <f t="shared" si="13"/>
        <v>24.919341758619904</v>
      </c>
      <c r="H20" s="30">
        <f t="shared" si="13"/>
        <v>24.919341758619904</v>
      </c>
      <c r="I20" s="30">
        <f t="shared" si="13"/>
        <v>24.919341758619904</v>
      </c>
      <c r="J20" s="30">
        <f t="shared" si="13"/>
        <v>24.919341758619904</v>
      </c>
    </row>
    <row r="21" spans="2:10" x14ac:dyDescent="0.2">
      <c r="B21" s="27" t="s">
        <v>136</v>
      </c>
      <c r="C21" s="37">
        <f>C8/'P&amp;L'!C$5</f>
        <v>1.5708418891170431E-2</v>
      </c>
      <c r="D21" s="37">
        <f>D8/'P&amp;L'!D$5</f>
        <v>1.5717158176943698E-2</v>
      </c>
      <c r="E21" s="37">
        <f>E8/'P&amp;L'!E$5</f>
        <v>2.2368421052631579E-2</v>
      </c>
      <c r="F21" s="37">
        <f t="shared" si="14"/>
        <v>1.7931332706915236E-2</v>
      </c>
      <c r="G21" s="37">
        <f t="shared" si="13"/>
        <v>1.7931332706915236E-2</v>
      </c>
      <c r="H21" s="37">
        <f t="shared" si="13"/>
        <v>1.7931332706915236E-2</v>
      </c>
      <c r="I21" s="37">
        <f t="shared" si="13"/>
        <v>1.7931332706915236E-2</v>
      </c>
      <c r="J21" s="37">
        <f t="shared" si="13"/>
        <v>1.7931332706915236E-2</v>
      </c>
    </row>
    <row r="22" spans="2:10" x14ac:dyDescent="0.2">
      <c r="B22" s="27" t="s">
        <v>137</v>
      </c>
      <c r="C22" s="37">
        <f>C14/'P&amp;L'!C$5</f>
        <v>1.6529774127310062E-2</v>
      </c>
      <c r="D22" s="37">
        <f>D14/'P&amp;L'!D$5</f>
        <v>1.4510723860589811E-2</v>
      </c>
      <c r="E22" s="37">
        <f>E14/'P&amp;L'!E$5</f>
        <v>1.2796052631578948E-2</v>
      </c>
      <c r="F22" s="37">
        <f t="shared" si="14"/>
        <v>1.4612183539826273E-2</v>
      </c>
      <c r="G22" s="37">
        <f t="shared" si="13"/>
        <v>1.4612183539826273E-2</v>
      </c>
      <c r="H22" s="37">
        <f t="shared" si="13"/>
        <v>1.4612183539826273E-2</v>
      </c>
      <c r="I22" s="37">
        <f t="shared" si="13"/>
        <v>1.4612183539826273E-2</v>
      </c>
      <c r="J22" s="37">
        <f t="shared" si="13"/>
        <v>1.4612183539826273E-2</v>
      </c>
    </row>
    <row r="23" spans="2:10" x14ac:dyDescent="0.2">
      <c r="B23" s="27"/>
      <c r="C23" s="27"/>
      <c r="D23" s="27"/>
      <c r="E23" s="27"/>
      <c r="F23" s="27"/>
      <c r="G23" s="27"/>
      <c r="H23" s="27"/>
      <c r="I23" s="27"/>
      <c r="J23" s="27"/>
    </row>
    <row r="25" spans="2:10" x14ac:dyDescent="0.2">
      <c r="B25" s="35" t="s">
        <v>132</v>
      </c>
      <c r="C25" s="36">
        <f>C9-C16</f>
        <v>0</v>
      </c>
      <c r="D25" s="36">
        <f t="shared" ref="D25:J25" si="15">D9-D16</f>
        <v>0</v>
      </c>
      <c r="E25" s="36">
        <f t="shared" si="15"/>
        <v>0</v>
      </c>
      <c r="F25" s="36">
        <f t="shared" ca="1" si="15"/>
        <v>0</v>
      </c>
      <c r="G25" s="36">
        <f t="shared" ca="1" si="15"/>
        <v>0</v>
      </c>
      <c r="H25" s="36">
        <f t="shared" ca="1" si="15"/>
        <v>0</v>
      </c>
      <c r="I25" s="36">
        <f t="shared" ca="1" si="15"/>
        <v>0</v>
      </c>
      <c r="J25" s="36">
        <f t="shared" ca="1" si="15"/>
        <v>0</v>
      </c>
    </row>
  </sheetData>
  <mergeCells count="1">
    <mergeCell ref="F2:J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6D9F5-6EFA-4DEC-BDEB-D94901CB3A3F}">
  <dimension ref="B1:J10"/>
  <sheetViews>
    <sheetView showGridLines="0" workbookViewId="0">
      <selection activeCell="B1" sqref="B1"/>
    </sheetView>
  </sheetViews>
  <sheetFormatPr defaultRowHeight="10" x14ac:dyDescent="0.2"/>
  <cols>
    <col min="1" max="1" width="2" style="20" customWidth="1"/>
    <col min="2" max="2" width="19.36328125" style="20" customWidth="1"/>
    <col min="3" max="10" width="10.08984375" style="20" bestFit="1" customWidth="1"/>
    <col min="11" max="16384" width="8.7265625" style="20"/>
  </cols>
  <sheetData>
    <row r="1" spans="2:10" ht="10.5" x14ac:dyDescent="0.25">
      <c r="B1" s="50" t="s">
        <v>138</v>
      </c>
    </row>
    <row r="2" spans="2:10" ht="10.5" x14ac:dyDescent="0.25">
      <c r="F2" s="60" t="s">
        <v>123</v>
      </c>
      <c r="G2" s="60"/>
      <c r="H2" s="60"/>
      <c r="I2" s="60"/>
      <c r="J2" s="60"/>
    </row>
    <row r="3" spans="2:10" ht="11" thickBot="1" x14ac:dyDescent="0.3">
      <c r="B3" s="21" t="s">
        <v>63</v>
      </c>
      <c r="C3" s="22">
        <v>42004</v>
      </c>
      <c r="D3" s="22">
        <v>42369</v>
      </c>
      <c r="E3" s="22">
        <v>42735</v>
      </c>
      <c r="F3" s="22">
        <v>43100</v>
      </c>
      <c r="G3" s="22">
        <v>43465</v>
      </c>
      <c r="H3" s="22">
        <v>43830</v>
      </c>
      <c r="I3" s="22">
        <v>44196</v>
      </c>
      <c r="J3" s="22">
        <v>44561</v>
      </c>
    </row>
    <row r="4" spans="2:10" x14ac:dyDescent="0.2">
      <c r="B4" s="20" t="s">
        <v>139</v>
      </c>
      <c r="C4" s="29"/>
      <c r="D4" s="39">
        <f>BS!C6</f>
        <v>632.5</v>
      </c>
      <c r="E4" s="39">
        <f>BS!D6</f>
        <v>632.5</v>
      </c>
      <c r="F4" s="39">
        <f>E7</f>
        <v>659.5</v>
      </c>
      <c r="G4" s="39">
        <f t="shared" ref="G4:J4" si="0">F7</f>
        <v>673.57628458498027</v>
      </c>
      <c r="H4" s="39">
        <f t="shared" si="0"/>
        <v>687.95301160774272</v>
      </c>
      <c r="I4" s="39">
        <f t="shared" si="0"/>
        <v>702.6365936736787</v>
      </c>
      <c r="J4" s="39">
        <f t="shared" si="0"/>
        <v>717.63358025801801</v>
      </c>
    </row>
    <row r="5" spans="2:10" x14ac:dyDescent="0.2">
      <c r="B5" s="20" t="s">
        <v>12</v>
      </c>
      <c r="C5" s="29"/>
      <c r="D5" s="39">
        <f>'P&amp;L'!D10</f>
        <v>-44</v>
      </c>
      <c r="E5" s="39">
        <f>'P&amp;L'!E10</f>
        <v>-41</v>
      </c>
      <c r="F5" s="39">
        <f>F4*F9</f>
        <v>-44.314229249011859</v>
      </c>
      <c r="G5" s="39">
        <f t="shared" ref="G5:J5" si="1">G4*G9</f>
        <v>-45.260066553140966</v>
      </c>
      <c r="H5" s="39">
        <f t="shared" si="1"/>
        <v>-46.22609168905781</v>
      </c>
      <c r="I5" s="39">
        <f t="shared" si="1"/>
        <v>-47.212735543290663</v>
      </c>
      <c r="J5" s="39">
        <f t="shared" si="1"/>
        <v>-48.22043819915536</v>
      </c>
    </row>
    <row r="6" spans="2:10" x14ac:dyDescent="0.2">
      <c r="B6" s="20" t="s">
        <v>141</v>
      </c>
      <c r="C6" s="29"/>
      <c r="D6" s="39">
        <f>D7-D5-D4</f>
        <v>44</v>
      </c>
      <c r="E6" s="39">
        <f>E7-E5-E4</f>
        <v>68</v>
      </c>
      <c r="F6" s="39">
        <f>F4*F10</f>
        <v>58.390513833992095</v>
      </c>
      <c r="G6" s="39">
        <f t="shared" ref="G6:J6" si="2">G4*G10</f>
        <v>59.63679357590339</v>
      </c>
      <c r="H6" s="39">
        <f t="shared" si="2"/>
        <v>60.909673754993825</v>
      </c>
      <c r="I6" s="39">
        <f t="shared" si="2"/>
        <v>62.209722127630052</v>
      </c>
      <c r="J6" s="39">
        <f t="shared" si="2"/>
        <v>63.537518568298829</v>
      </c>
    </row>
    <row r="7" spans="2:10" ht="11" thickBot="1" x14ac:dyDescent="0.3">
      <c r="B7" s="24" t="s">
        <v>140</v>
      </c>
      <c r="C7" s="24"/>
      <c r="D7" s="24">
        <f>BS!D6</f>
        <v>632.5</v>
      </c>
      <c r="E7" s="24">
        <f>BS!E6</f>
        <v>659.5</v>
      </c>
      <c r="F7" s="24">
        <f t="shared" ref="F7:J7" si="3">SUM(F4:F6)</f>
        <v>673.57628458498027</v>
      </c>
      <c r="G7" s="24">
        <f t="shared" si="3"/>
        <v>687.95301160774272</v>
      </c>
      <c r="H7" s="24">
        <f t="shared" si="3"/>
        <v>702.6365936736787</v>
      </c>
      <c r="I7" s="24">
        <f t="shared" si="3"/>
        <v>717.63358025801801</v>
      </c>
      <c r="J7" s="24">
        <f t="shared" si="3"/>
        <v>732.95066062716148</v>
      </c>
    </row>
    <row r="9" spans="2:10" x14ac:dyDescent="0.2">
      <c r="B9" s="51" t="s">
        <v>142</v>
      </c>
      <c r="C9" s="51"/>
      <c r="D9" s="52">
        <f>D5/D4</f>
        <v>-6.9565217391304349E-2</v>
      </c>
      <c r="E9" s="52">
        <f>E5/E4</f>
        <v>-6.4822134387351779E-2</v>
      </c>
      <c r="F9" s="53">
        <f>AVERAGE($D9:$E9)</f>
        <v>-6.7193675889328064E-2</v>
      </c>
      <c r="G9" s="53">
        <f t="shared" ref="G9:J10" si="4">AVERAGE($D9:$E9)</f>
        <v>-6.7193675889328064E-2</v>
      </c>
      <c r="H9" s="53">
        <f t="shared" si="4"/>
        <v>-6.7193675889328064E-2</v>
      </c>
      <c r="I9" s="53">
        <f t="shared" si="4"/>
        <v>-6.7193675889328064E-2</v>
      </c>
      <c r="J9" s="53">
        <f t="shared" si="4"/>
        <v>-6.7193675889328064E-2</v>
      </c>
    </row>
    <row r="10" spans="2:10" x14ac:dyDescent="0.2">
      <c r="B10" s="51" t="s">
        <v>144</v>
      </c>
      <c r="C10" s="51"/>
      <c r="D10" s="52">
        <f>D6/D4</f>
        <v>6.9565217391304349E-2</v>
      </c>
      <c r="E10" s="52">
        <f>E6/E4</f>
        <v>0.10750988142292491</v>
      </c>
      <c r="F10" s="53">
        <f t="shared" ref="F10" si="5">AVERAGE($D10:$E10)</f>
        <v>8.8537549407114627E-2</v>
      </c>
      <c r="G10" s="53">
        <f t="shared" si="4"/>
        <v>8.8537549407114627E-2</v>
      </c>
      <c r="H10" s="53">
        <f t="shared" si="4"/>
        <v>8.8537549407114627E-2</v>
      </c>
      <c r="I10" s="53">
        <f t="shared" si="4"/>
        <v>8.8537549407114627E-2</v>
      </c>
      <c r="J10" s="53">
        <f t="shared" si="4"/>
        <v>8.8537549407114627E-2</v>
      </c>
    </row>
  </sheetData>
  <mergeCells count="1">
    <mergeCell ref="F2:J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FD30-27BA-49C5-BD43-158FB51873A5}">
  <dimension ref="B1:L17"/>
  <sheetViews>
    <sheetView showGridLines="0" workbookViewId="0"/>
  </sheetViews>
  <sheetFormatPr defaultRowHeight="10" x14ac:dyDescent="0.2"/>
  <cols>
    <col min="1" max="1" width="2" style="20" customWidth="1"/>
    <col min="2" max="2" width="21.6328125" style="20" customWidth="1"/>
    <col min="3" max="16384" width="8.7265625" style="20"/>
  </cols>
  <sheetData>
    <row r="1" spans="2:12" ht="10.5" x14ac:dyDescent="0.25">
      <c r="B1" s="50" t="s">
        <v>145</v>
      </c>
    </row>
    <row r="2" spans="2:12" ht="10.5" x14ac:dyDescent="0.25">
      <c r="F2" s="60" t="s">
        <v>123</v>
      </c>
      <c r="G2" s="60"/>
      <c r="H2" s="60"/>
      <c r="I2" s="60"/>
      <c r="J2" s="60"/>
    </row>
    <row r="3" spans="2:12" ht="11" thickBot="1" x14ac:dyDescent="0.3">
      <c r="B3" s="21" t="s">
        <v>63</v>
      </c>
      <c r="C3" s="22">
        <v>42004</v>
      </c>
      <c r="D3" s="22">
        <v>42369</v>
      </c>
      <c r="E3" s="22">
        <v>42735</v>
      </c>
      <c r="F3" s="22">
        <v>43100</v>
      </c>
      <c r="G3" s="22">
        <v>43465</v>
      </c>
      <c r="H3" s="22">
        <v>43830</v>
      </c>
      <c r="I3" s="22">
        <v>44196</v>
      </c>
      <c r="J3" s="22">
        <v>44561</v>
      </c>
    </row>
    <row r="4" spans="2:12" x14ac:dyDescent="0.2">
      <c r="B4" s="20" t="s">
        <v>146</v>
      </c>
      <c r="C4" s="29"/>
      <c r="D4" s="39">
        <f>C7</f>
        <v>615.79999999999995</v>
      </c>
      <c r="E4" s="39">
        <f>D7</f>
        <v>610.4</v>
      </c>
      <c r="F4" s="39">
        <f t="shared" ref="F4:J4" si="0">E7</f>
        <v>605</v>
      </c>
      <c r="G4" s="39">
        <f t="shared" si="0"/>
        <v>565.17884560503455</v>
      </c>
      <c r="H4" s="39">
        <f t="shared" si="0"/>
        <v>521.77378731452222</v>
      </c>
      <c r="I4" s="39">
        <f t="shared" si="0"/>
        <v>474.4622737778638</v>
      </c>
      <c r="J4" s="39">
        <f t="shared" si="0"/>
        <v>422.89272402290612</v>
      </c>
    </row>
    <row r="5" spans="2:12" x14ac:dyDescent="0.2">
      <c r="B5" s="20" t="s">
        <v>147</v>
      </c>
      <c r="C5" s="29"/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20">
        <v>0</v>
      </c>
    </row>
    <row r="6" spans="2:12" x14ac:dyDescent="0.2">
      <c r="B6" s="20" t="s">
        <v>148</v>
      </c>
      <c r="C6" s="29"/>
      <c r="D6" s="39">
        <f>D7-D4</f>
        <v>-5.3999999999999773</v>
      </c>
      <c r="E6" s="39">
        <f>E7-E4</f>
        <v>-5.3999999999999773</v>
      </c>
      <c r="F6" s="39">
        <f>C16</f>
        <v>-39.82115439496544</v>
      </c>
      <c r="G6" s="39">
        <f t="shared" ref="G6:J6" si="1">D16</f>
        <v>-43.405058290512329</v>
      </c>
      <c r="H6" s="39">
        <f t="shared" si="1"/>
        <v>-47.311513536658438</v>
      </c>
      <c r="I6" s="39">
        <f t="shared" si="1"/>
        <v>-51.569549754957698</v>
      </c>
      <c r="J6" s="39">
        <f t="shared" si="1"/>
        <v>-56.210809232903884</v>
      </c>
    </row>
    <row r="7" spans="2:12" ht="11" thickBot="1" x14ac:dyDescent="0.3">
      <c r="B7" s="24" t="s">
        <v>149</v>
      </c>
      <c r="C7" s="24">
        <f>BS!C13</f>
        <v>615.79999999999995</v>
      </c>
      <c r="D7" s="24">
        <f>BS!D13</f>
        <v>610.4</v>
      </c>
      <c r="E7" s="24">
        <f>BS!E13</f>
        <v>605</v>
      </c>
      <c r="F7" s="24">
        <f>SUM(F4:F6)</f>
        <v>565.17884560503455</v>
      </c>
      <c r="G7" s="24">
        <f t="shared" ref="G7:J7" si="2">SUM(G4:G6)</f>
        <v>521.77378731452222</v>
      </c>
      <c r="H7" s="24">
        <f t="shared" si="2"/>
        <v>474.4622737778638</v>
      </c>
      <c r="I7" s="24">
        <f t="shared" si="2"/>
        <v>422.89272402290612</v>
      </c>
      <c r="J7" s="24">
        <f t="shared" si="2"/>
        <v>366.68191479000222</v>
      </c>
    </row>
    <row r="9" spans="2:12" x14ac:dyDescent="0.2">
      <c r="B9" s="20" t="s">
        <v>150</v>
      </c>
      <c r="C9" s="20">
        <v>10</v>
      </c>
    </row>
    <row r="10" spans="2:12" x14ac:dyDescent="0.2">
      <c r="B10" s="20" t="s">
        <v>151</v>
      </c>
      <c r="C10" s="54">
        <v>0.09</v>
      </c>
    </row>
    <row r="11" spans="2:12" x14ac:dyDescent="0.2">
      <c r="B11" s="20" t="s">
        <v>152</v>
      </c>
      <c r="C11" s="38">
        <f>PMT(C10,C9,E7)</f>
        <v>-94.271154394965436</v>
      </c>
    </row>
    <row r="13" spans="2:12" ht="11" thickBot="1" x14ac:dyDescent="0.3">
      <c r="B13" s="21" t="s">
        <v>153</v>
      </c>
      <c r="C13" s="42">
        <v>1</v>
      </c>
      <c r="D13" s="42">
        <v>2</v>
      </c>
      <c r="E13" s="42">
        <v>3</v>
      </c>
      <c r="F13" s="42">
        <v>4</v>
      </c>
      <c r="G13" s="42">
        <v>5</v>
      </c>
      <c r="H13" s="42">
        <v>6</v>
      </c>
      <c r="I13" s="42">
        <v>7</v>
      </c>
      <c r="J13" s="42">
        <v>8</v>
      </c>
      <c r="K13" s="42">
        <v>9</v>
      </c>
      <c r="L13" s="42">
        <v>10</v>
      </c>
    </row>
    <row r="14" spans="2:12" x14ac:dyDescent="0.2">
      <c r="B14" s="20" t="s">
        <v>154</v>
      </c>
      <c r="C14" s="39">
        <f>$C$11</f>
        <v>-94.271154394965436</v>
      </c>
      <c r="D14" s="39">
        <f t="shared" ref="D14:L14" si="3">$C$11</f>
        <v>-94.271154394965436</v>
      </c>
      <c r="E14" s="39">
        <f t="shared" si="3"/>
        <v>-94.271154394965436</v>
      </c>
      <c r="F14" s="39">
        <f t="shared" si="3"/>
        <v>-94.271154394965436</v>
      </c>
      <c r="G14" s="39">
        <f t="shared" si="3"/>
        <v>-94.271154394965436</v>
      </c>
      <c r="H14" s="39">
        <f t="shared" si="3"/>
        <v>-94.271154394965436</v>
      </c>
      <c r="I14" s="39">
        <f t="shared" si="3"/>
        <v>-94.271154394965436</v>
      </c>
      <c r="J14" s="39">
        <f t="shared" si="3"/>
        <v>-94.271154394965436</v>
      </c>
      <c r="K14" s="39">
        <f t="shared" si="3"/>
        <v>-94.271154394965436</v>
      </c>
      <c r="L14" s="39">
        <f t="shared" si="3"/>
        <v>-94.271154394965436</v>
      </c>
    </row>
    <row r="15" spans="2:12" x14ac:dyDescent="0.2">
      <c r="B15" s="20" t="s">
        <v>155</v>
      </c>
      <c r="C15" s="39">
        <f>-E7*C10</f>
        <v>-54.449999999999996</v>
      </c>
      <c r="D15" s="39">
        <f>-C17*$C$10</f>
        <v>-50.866096104453106</v>
      </c>
      <c r="E15" s="39">
        <f t="shared" ref="E15:L15" si="4">-D17*$C$10</f>
        <v>-46.959640858306997</v>
      </c>
      <c r="F15" s="39">
        <f t="shared" si="4"/>
        <v>-42.701604640007737</v>
      </c>
      <c r="G15" s="39">
        <f t="shared" si="4"/>
        <v>-38.060345162061552</v>
      </c>
      <c r="H15" s="39">
        <f t="shared" si="4"/>
        <v>-33.0013723311002</v>
      </c>
      <c r="I15" s="39">
        <f t="shared" si="4"/>
        <v>-27.487091945352326</v>
      </c>
      <c r="J15" s="39">
        <f t="shared" si="4"/>
        <v>-21.476526324887146</v>
      </c>
      <c r="K15" s="39">
        <f t="shared" si="4"/>
        <v>-14.925009798580101</v>
      </c>
      <c r="L15" s="39">
        <f t="shared" si="4"/>
        <v>-7.7838567849054208</v>
      </c>
    </row>
    <row r="16" spans="2:12" x14ac:dyDescent="0.2">
      <c r="B16" s="20" t="s">
        <v>156</v>
      </c>
      <c r="C16" s="39">
        <f>C14-C15</f>
        <v>-39.82115439496544</v>
      </c>
      <c r="D16" s="39">
        <f>D14-D15</f>
        <v>-43.405058290512329</v>
      </c>
      <c r="E16" s="39">
        <f t="shared" ref="E16:L16" si="5">E14-E15</f>
        <v>-47.311513536658438</v>
      </c>
      <c r="F16" s="39">
        <f t="shared" si="5"/>
        <v>-51.569549754957698</v>
      </c>
      <c r="G16" s="39">
        <f t="shared" si="5"/>
        <v>-56.210809232903884</v>
      </c>
      <c r="H16" s="39">
        <f t="shared" si="5"/>
        <v>-61.269782063865236</v>
      </c>
      <c r="I16" s="39">
        <f t="shared" si="5"/>
        <v>-66.784062449613117</v>
      </c>
      <c r="J16" s="39">
        <f t="shared" si="5"/>
        <v>-72.794628070078289</v>
      </c>
      <c r="K16" s="39">
        <f t="shared" si="5"/>
        <v>-79.346144596385329</v>
      </c>
      <c r="L16" s="39">
        <f t="shared" si="5"/>
        <v>-86.487297610060011</v>
      </c>
    </row>
    <row r="17" spans="2:12" x14ac:dyDescent="0.2">
      <c r="B17" s="20" t="s">
        <v>157</v>
      </c>
      <c r="C17" s="39">
        <f>E7+C16</f>
        <v>565.17884560503455</v>
      </c>
      <c r="D17" s="39">
        <f>C17+D16</f>
        <v>521.77378731452222</v>
      </c>
      <c r="E17" s="39">
        <f t="shared" ref="E17:L17" si="6">D17+E16</f>
        <v>474.4622737778638</v>
      </c>
      <c r="F17" s="39">
        <f t="shared" si="6"/>
        <v>422.89272402290612</v>
      </c>
      <c r="G17" s="39">
        <f t="shared" si="6"/>
        <v>366.68191479000222</v>
      </c>
      <c r="H17" s="39">
        <f t="shared" si="6"/>
        <v>305.41213272613697</v>
      </c>
      <c r="I17" s="39">
        <f t="shared" si="6"/>
        <v>238.62807027652386</v>
      </c>
      <c r="J17" s="39">
        <f t="shared" si="6"/>
        <v>165.83344220644557</v>
      </c>
      <c r="K17" s="39">
        <f t="shared" si="6"/>
        <v>86.487297610060239</v>
      </c>
      <c r="L17" s="39">
        <f t="shared" si="6"/>
        <v>2.2737367544323206E-13</v>
      </c>
    </row>
  </sheetData>
  <mergeCells count="1">
    <mergeCell ref="F2:J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A9B9A-3ADD-455D-9DF4-17A8E2DCBD0C}">
  <dimension ref="B1:J10"/>
  <sheetViews>
    <sheetView showGridLines="0" workbookViewId="0"/>
  </sheetViews>
  <sheetFormatPr defaultRowHeight="10" x14ac:dyDescent="0.2"/>
  <cols>
    <col min="1" max="1" width="2" style="20" customWidth="1"/>
    <col min="2" max="2" width="19.36328125" style="20" customWidth="1"/>
    <col min="3" max="10" width="9.1796875" style="20" bestFit="1" customWidth="1"/>
    <col min="11" max="16384" width="8.7265625" style="20"/>
  </cols>
  <sheetData>
    <row r="1" spans="2:10" ht="10.5" x14ac:dyDescent="0.25">
      <c r="B1" s="50" t="s">
        <v>159</v>
      </c>
    </row>
    <row r="2" spans="2:10" ht="10.5" x14ac:dyDescent="0.25">
      <c r="F2" s="60" t="s">
        <v>123</v>
      </c>
      <c r="G2" s="60"/>
      <c r="H2" s="60"/>
      <c r="I2" s="60"/>
      <c r="J2" s="60"/>
    </row>
    <row r="3" spans="2:10" ht="11" thickBot="1" x14ac:dyDescent="0.3">
      <c r="B3" s="21" t="s">
        <v>63</v>
      </c>
      <c r="C3" s="22">
        <v>42004</v>
      </c>
      <c r="D3" s="22">
        <v>42369</v>
      </c>
      <c r="E3" s="22">
        <v>42735</v>
      </c>
      <c r="F3" s="22">
        <v>43100</v>
      </c>
      <c r="G3" s="22">
        <v>43465</v>
      </c>
      <c r="H3" s="22">
        <v>43830</v>
      </c>
      <c r="I3" s="22">
        <v>44196</v>
      </c>
      <c r="J3" s="22">
        <v>44561</v>
      </c>
    </row>
    <row r="4" spans="2:10" x14ac:dyDescent="0.2">
      <c r="B4" s="20" t="s">
        <v>160</v>
      </c>
      <c r="C4" s="29"/>
      <c r="D4" s="29"/>
      <c r="E4" s="29"/>
      <c r="F4" s="39">
        <f>E8</f>
        <v>485.3</v>
      </c>
      <c r="G4" s="39">
        <f t="shared" ref="G4:J4" ca="1" si="0">F8</f>
        <v>593.9336399021654</v>
      </c>
      <c r="H4" s="39">
        <f t="shared" ca="1" si="0"/>
        <v>706.5391595611693</v>
      </c>
      <c r="I4" s="39">
        <f t="shared" ca="1" si="0"/>
        <v>823.29334142507184</v>
      </c>
      <c r="J4" s="39">
        <f t="shared" ca="1" si="0"/>
        <v>944.38529866210786</v>
      </c>
    </row>
    <row r="5" spans="2:10" x14ac:dyDescent="0.2">
      <c r="B5" s="20" t="s">
        <v>161</v>
      </c>
      <c r="C5" s="29"/>
      <c r="D5" s="29"/>
      <c r="E5" s="29"/>
      <c r="F5" s="39">
        <v>0</v>
      </c>
      <c r="G5" s="39">
        <v>0</v>
      </c>
      <c r="H5" s="39">
        <v>0</v>
      </c>
      <c r="I5" s="39">
        <v>0</v>
      </c>
      <c r="J5" s="39">
        <v>0</v>
      </c>
    </row>
    <row r="6" spans="2:10" x14ac:dyDescent="0.2">
      <c r="B6" s="20" t="s">
        <v>162</v>
      </c>
      <c r="C6" s="29"/>
      <c r="D6" s="29"/>
      <c r="E6" s="29"/>
      <c r="F6" s="39">
        <f ca="1">'P&amp;L'!I15</f>
        <v>181.05606650360895</v>
      </c>
      <c r="G6" s="39">
        <f ca="1">'P&amp;L'!J15</f>
        <v>187.67586609833978</v>
      </c>
      <c r="H6" s="39">
        <f ca="1">'P&amp;L'!K15</f>
        <v>194.59030310650434</v>
      </c>
      <c r="I6" s="39">
        <f ca="1">'P&amp;L'!L15</f>
        <v>201.81992872839336</v>
      </c>
      <c r="J6" s="39">
        <f ca="1">'P&amp;L'!M15</f>
        <v>209.38702565969709</v>
      </c>
    </row>
    <row r="7" spans="2:10" x14ac:dyDescent="0.2">
      <c r="B7" s="20" t="s">
        <v>163</v>
      </c>
      <c r="C7" s="29"/>
      <c r="D7" s="29"/>
      <c r="E7" s="29"/>
      <c r="F7" s="39">
        <f ca="1">IF(F6&gt;0,-F6*F10,0)</f>
        <v>-72.422426601443576</v>
      </c>
      <c r="G7" s="39">
        <f t="shared" ref="G7:J7" ca="1" si="1">IF(G6&gt;0,-G6*G10,0)</f>
        <v>-75.070346439335921</v>
      </c>
      <c r="H7" s="39">
        <f t="shared" ca="1" si="1"/>
        <v>-77.836121242601735</v>
      </c>
      <c r="I7" s="39">
        <f t="shared" ca="1" si="1"/>
        <v>-80.727971491357351</v>
      </c>
      <c r="J7" s="39">
        <f t="shared" ca="1" si="1"/>
        <v>-83.754810263878838</v>
      </c>
    </row>
    <row r="8" spans="2:10" ht="11" thickBot="1" x14ac:dyDescent="0.3">
      <c r="B8" s="24" t="s">
        <v>164</v>
      </c>
      <c r="C8" s="24"/>
      <c r="D8" s="24"/>
      <c r="E8" s="24">
        <f>BS!E15</f>
        <v>485.3</v>
      </c>
      <c r="F8" s="24">
        <f ca="1">SUM(F4:F7)</f>
        <v>593.9336399021654</v>
      </c>
      <c r="G8" s="24">
        <f t="shared" ref="G8:J8" ca="1" si="2">SUM(G4:G7)</f>
        <v>706.5391595611693</v>
      </c>
      <c r="H8" s="24">
        <f t="shared" ca="1" si="2"/>
        <v>823.29334142507184</v>
      </c>
      <c r="I8" s="24">
        <f t="shared" ca="1" si="2"/>
        <v>944.38529866210786</v>
      </c>
      <c r="J8" s="24">
        <f t="shared" ca="1" si="2"/>
        <v>1070.0175140579261</v>
      </c>
    </row>
    <row r="10" spans="2:10" x14ac:dyDescent="0.2">
      <c r="B10" s="51" t="s">
        <v>165</v>
      </c>
      <c r="C10" s="51"/>
      <c r="D10" s="52"/>
      <c r="E10" s="52"/>
      <c r="F10" s="53">
        <v>0.4</v>
      </c>
      <c r="G10" s="53">
        <v>0.4</v>
      </c>
      <c r="H10" s="53">
        <v>0.4</v>
      </c>
      <c r="I10" s="53">
        <v>0.4</v>
      </c>
      <c r="J10" s="53">
        <v>0.4</v>
      </c>
    </row>
  </sheetData>
  <mergeCells count="1">
    <mergeCell ref="F2:J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7C7BF-F380-436A-BDDA-133B4DE81C34}">
  <dimension ref="B1:G18"/>
  <sheetViews>
    <sheetView showGridLines="0" workbookViewId="0">
      <selection activeCell="D21" sqref="D21"/>
    </sheetView>
  </sheetViews>
  <sheetFormatPr defaultRowHeight="10" x14ac:dyDescent="0.2"/>
  <cols>
    <col min="1" max="1" width="1.90625" style="20" customWidth="1"/>
    <col min="2" max="2" width="23.453125" style="20" bestFit="1" customWidth="1"/>
    <col min="3" max="7" width="10.08984375" style="20" bestFit="1" customWidth="1"/>
    <col min="8" max="16384" width="8.7265625" style="20"/>
  </cols>
  <sheetData>
    <row r="1" spans="2:7" ht="10.5" x14ac:dyDescent="0.25">
      <c r="B1" s="50" t="s">
        <v>166</v>
      </c>
    </row>
    <row r="2" spans="2:7" ht="10.5" x14ac:dyDescent="0.25">
      <c r="B2" s="50"/>
      <c r="C2" s="60" t="s">
        <v>123</v>
      </c>
      <c r="D2" s="60"/>
      <c r="E2" s="60"/>
      <c r="F2" s="60"/>
      <c r="G2" s="60"/>
    </row>
    <row r="3" spans="2:7" ht="11" thickBot="1" x14ac:dyDescent="0.3">
      <c r="B3" s="21" t="s">
        <v>63</v>
      </c>
      <c r="C3" s="22">
        <v>43100</v>
      </c>
      <c r="D3" s="22">
        <v>43465</v>
      </c>
      <c r="E3" s="22">
        <v>43830</v>
      </c>
      <c r="F3" s="22">
        <v>44196</v>
      </c>
      <c r="G3" s="22">
        <v>44561</v>
      </c>
    </row>
    <row r="4" spans="2:7" x14ac:dyDescent="0.2">
      <c r="B4" s="20" t="s">
        <v>167</v>
      </c>
      <c r="C4" s="39">
        <f ca="1">'P&amp;L'!I9</f>
        <v>377.31202386994869</v>
      </c>
      <c r="D4" s="39">
        <f ca="1">'P&amp;L'!J9</f>
        <v>384.85826434734759</v>
      </c>
      <c r="E4" s="39">
        <f ca="1">'P&amp;L'!K9</f>
        <v>392.55542963429457</v>
      </c>
      <c r="F4" s="39">
        <f ca="1">'P&amp;L'!L9</f>
        <v>400.4065382269805</v>
      </c>
      <c r="G4" s="39">
        <f ca="1">'P&amp;L'!M9</f>
        <v>408.4146689915201</v>
      </c>
    </row>
    <row r="5" spans="2:7" x14ac:dyDescent="0.2">
      <c r="B5" s="20" t="s">
        <v>155</v>
      </c>
      <c r="C5" s="39">
        <f>'P&amp;L'!I12</f>
        <v>-54.449999999999996</v>
      </c>
      <c r="D5" s="39">
        <f>'P&amp;L'!J12</f>
        <v>-50.866096104453106</v>
      </c>
      <c r="E5" s="39">
        <f>'P&amp;L'!K12</f>
        <v>-46.959640858306997</v>
      </c>
      <c r="F5" s="39">
        <f>'P&amp;L'!L12</f>
        <v>-42.701604640007737</v>
      </c>
      <c r="G5" s="39">
        <f>'P&amp;L'!M12</f>
        <v>-38.060345162061552</v>
      </c>
    </row>
    <row r="6" spans="2:7" x14ac:dyDescent="0.2">
      <c r="B6" s="20" t="s">
        <v>168</v>
      </c>
      <c r="C6" s="39">
        <f ca="1">'P&amp;L'!I14</f>
        <v>-97.491728117327881</v>
      </c>
      <c r="D6" s="39">
        <f ca="1">'P&amp;L'!J14</f>
        <v>-101.05623559141372</v>
      </c>
      <c r="E6" s="39">
        <f ca="1">'P&amp;L'!K14</f>
        <v>-104.77939398042541</v>
      </c>
      <c r="F6" s="39">
        <f ca="1">'P&amp;L'!L14</f>
        <v>-108.67226931528873</v>
      </c>
      <c r="G6" s="39">
        <f ca="1">'P&amp;L'!M14</f>
        <v>-112.74685997060611</v>
      </c>
    </row>
    <row r="7" spans="2:7" x14ac:dyDescent="0.2">
      <c r="B7" s="20" t="s">
        <v>169</v>
      </c>
      <c r="C7" s="39">
        <f>-(BS!F4-BS!E4)</f>
        <v>7.2164748042491738</v>
      </c>
      <c r="D7" s="39">
        <f ca="1">-(BS!G4-BS!F4)</f>
        <v>-3.2416705039150031</v>
      </c>
      <c r="E7" s="39">
        <f ca="1">-(BS!H4-BS!G4)</f>
        <v>-3.3065039139933106</v>
      </c>
      <c r="F7" s="39">
        <f ca="1">-(BS!I4-BS!H4)</f>
        <v>-3.3726339922731938</v>
      </c>
      <c r="G7" s="39">
        <f ca="1">-(BS!J4-BS!I4)</f>
        <v>-3.4400866721186389</v>
      </c>
    </row>
    <row r="8" spans="2:7" x14ac:dyDescent="0.2">
      <c r="B8" s="20" t="s">
        <v>170</v>
      </c>
      <c r="C8" s="39">
        <f ca="1">-(BS!F5-BS!E5)</f>
        <v>10.521052389174798</v>
      </c>
      <c r="D8" s="39">
        <f ca="1">-(BS!G5-BS!F5)</f>
        <v>-1.9895789522165046</v>
      </c>
      <c r="E8" s="39">
        <f ca="1">-(BS!H5-BS!G5)</f>
        <v>-2.0293705312608239</v>
      </c>
      <c r="F8" s="39">
        <f ca="1">-(BS!I5-BS!H5)</f>
        <v>-2.0699579418860594</v>
      </c>
      <c r="G8" s="39">
        <f ca="1">-(BS!J5-BS!I5)</f>
        <v>-2.1113571007237795</v>
      </c>
    </row>
    <row r="9" spans="2:7" x14ac:dyDescent="0.2">
      <c r="B9" s="20" t="s">
        <v>171</v>
      </c>
      <c r="C9" s="39">
        <f ca="1">BS!F11-BS!E11</f>
        <v>2.3618622823015158</v>
      </c>
      <c r="D9" s="39">
        <f ca="1">BS!G11-BS!F11</f>
        <v>1.4252372456460449</v>
      </c>
      <c r="E9" s="39">
        <f ca="1">BS!H11-BS!G11</f>
        <v>1.4537419905589388</v>
      </c>
      <c r="F9" s="39">
        <f ca="1">BS!I11-BS!H11</f>
        <v>1.4828168303701403</v>
      </c>
      <c r="G9" s="39">
        <f ca="1">BS!J11-BS!I11</f>
        <v>1.5124731669775286</v>
      </c>
    </row>
    <row r="10" spans="2:7" x14ac:dyDescent="0.2">
      <c r="B10" s="20" t="s">
        <v>172</v>
      </c>
      <c r="C10" s="39">
        <f>-(BS!F8-BS!E8)</f>
        <v>12.398523542397236</v>
      </c>
      <c r="D10" s="39">
        <f ca="1">-(BS!G8-BS!F8)</f>
        <v>-1.1120295291520605</v>
      </c>
      <c r="E10" s="39">
        <f ca="1">-(BS!H8-BS!G8)</f>
        <v>-1.134270119735092</v>
      </c>
      <c r="F10" s="39">
        <f ca="1">-(BS!I8-BS!H8)</f>
        <v>-1.1569555221297989</v>
      </c>
      <c r="G10" s="39">
        <f ca="1">-(BS!J8-BS!I8)</f>
        <v>-1.1800946325723984</v>
      </c>
    </row>
    <row r="11" spans="2:7" x14ac:dyDescent="0.2">
      <c r="B11" s="20" t="s">
        <v>173</v>
      </c>
      <c r="C11" s="39">
        <f>BS!F14-BS!E14</f>
        <v>6.4094587202933084</v>
      </c>
      <c r="D11" s="39">
        <f ca="1">BS!G14-BS!F14</f>
        <v>0.90618917440586699</v>
      </c>
      <c r="E11" s="39">
        <f ca="1">BS!H14-BS!G14</f>
        <v>0.9243129578939886</v>
      </c>
      <c r="F11" s="39">
        <f ca="1">BS!I14-BS!H14</f>
        <v>0.94279921705186354</v>
      </c>
      <c r="G11" s="39">
        <f ca="1">BS!J14-BS!I14</f>
        <v>0.96165520139290095</v>
      </c>
    </row>
    <row r="12" spans="2:7" x14ac:dyDescent="0.2">
      <c r="B12" s="20" t="s">
        <v>143</v>
      </c>
      <c r="C12" s="39">
        <f>-'Fixed Asset Roll Forward'!F6</f>
        <v>-58.390513833992095</v>
      </c>
      <c r="D12" s="39">
        <f>-'Fixed Asset Roll Forward'!G6</f>
        <v>-59.63679357590339</v>
      </c>
      <c r="E12" s="39">
        <f>-'Fixed Asset Roll Forward'!H6</f>
        <v>-60.909673754993825</v>
      </c>
      <c r="F12" s="39">
        <f>-'Fixed Asset Roll Forward'!I6</f>
        <v>-62.209722127630052</v>
      </c>
      <c r="G12" s="39">
        <f>-'Fixed Asset Roll Forward'!J6</f>
        <v>-63.537518568298829</v>
      </c>
    </row>
    <row r="13" spans="2:7" ht="10.5" x14ac:dyDescent="0.25">
      <c r="B13" s="46" t="s">
        <v>174</v>
      </c>
      <c r="C13" s="46">
        <f ca="1">SUM(C4:C12)</f>
        <v>205.88715365704473</v>
      </c>
      <c r="D13" s="46">
        <f t="shared" ref="D13:G13" ca="1" si="0">SUM(D4:D12)</f>
        <v>169.28728651034569</v>
      </c>
      <c r="E13" s="46">
        <f t="shared" ca="1" si="0"/>
        <v>175.814631424032</v>
      </c>
      <c r="F13" s="46">
        <f t="shared" ca="1" si="0"/>
        <v>182.64901073518692</v>
      </c>
      <c r="G13" s="46">
        <f t="shared" ca="1" si="0"/>
        <v>189.81253525350922</v>
      </c>
    </row>
    <row r="14" spans="2:7" x14ac:dyDescent="0.2">
      <c r="B14" s="20" t="s">
        <v>163</v>
      </c>
      <c r="C14" s="39">
        <f ca="1">'Equity Schedule'!F7</f>
        <v>-72.422426601443576</v>
      </c>
      <c r="D14" s="39">
        <f ca="1">'Equity Schedule'!G7</f>
        <v>-75.070346439335921</v>
      </c>
      <c r="E14" s="39">
        <f ca="1">'Equity Schedule'!H7</f>
        <v>-77.836121242601735</v>
      </c>
      <c r="F14" s="39">
        <f ca="1">'Equity Schedule'!I7</f>
        <v>-80.727971491357351</v>
      </c>
      <c r="G14" s="39">
        <f ca="1">'Equity Schedule'!J7</f>
        <v>-83.754810263878838</v>
      </c>
    </row>
    <row r="15" spans="2:7" x14ac:dyDescent="0.2">
      <c r="B15" s="20" t="s">
        <v>175</v>
      </c>
      <c r="C15" s="39">
        <f>'Financial Liablity'!F7-'Financial Liablity'!E7</f>
        <v>-39.821154394965447</v>
      </c>
      <c r="D15" s="39">
        <f>'Financial Liablity'!G7-'Financial Liablity'!F7</f>
        <v>-43.405058290512329</v>
      </c>
      <c r="E15" s="39">
        <f>'Financial Liablity'!H7-'Financial Liablity'!G7</f>
        <v>-47.311513536658424</v>
      </c>
      <c r="F15" s="39">
        <f>'Financial Liablity'!I7-'Financial Liablity'!H7</f>
        <v>-51.569549754957677</v>
      </c>
      <c r="G15" s="39">
        <f>'Financial Liablity'!J7-'Financial Liablity'!I7</f>
        <v>-56.210809232903898</v>
      </c>
    </row>
    <row r="16" spans="2:7" x14ac:dyDescent="0.2">
      <c r="B16" s="20" t="s">
        <v>176</v>
      </c>
      <c r="C16" s="39">
        <f>BS!F12-BS!E12</f>
        <v>0</v>
      </c>
      <c r="D16" s="39">
        <f>BS!G12-BS!F12</f>
        <v>0</v>
      </c>
      <c r="E16" s="39">
        <f>BS!H12-BS!G12</f>
        <v>0</v>
      </c>
      <c r="F16" s="39">
        <f>BS!I12-BS!H12</f>
        <v>0</v>
      </c>
      <c r="G16" s="39">
        <f>BS!J12-BS!I12</f>
        <v>0</v>
      </c>
    </row>
    <row r="17" spans="2:7" x14ac:dyDescent="0.2">
      <c r="B17" s="20" t="s">
        <v>177</v>
      </c>
      <c r="C17" s="39">
        <f ca="1">'Equity Schedule'!F8-'Equity Schedule'!E8-'Equity Schedule'!F6-'Equity Schedule'!F7</f>
        <v>0</v>
      </c>
      <c r="D17" s="39">
        <f ca="1">'Equity Schedule'!G8-'Equity Schedule'!F8-'Equity Schedule'!G6-'Equity Schedule'!G7</f>
        <v>0</v>
      </c>
      <c r="E17" s="39">
        <f ca="1">'Equity Schedule'!H8-'Equity Schedule'!G8-'Equity Schedule'!H6-'Equity Schedule'!H7</f>
        <v>0</v>
      </c>
      <c r="F17" s="39">
        <f ca="1">'Equity Schedule'!I8-'Equity Schedule'!H8-'Equity Schedule'!I6-'Equity Schedule'!I7</f>
        <v>0</v>
      </c>
      <c r="G17" s="39">
        <f ca="1">'Equity Schedule'!J8-'Equity Schedule'!I8-'Equity Schedule'!J6-'Equity Schedule'!J7</f>
        <v>0</v>
      </c>
    </row>
    <row r="18" spans="2:7" ht="11" thickBot="1" x14ac:dyDescent="0.3">
      <c r="B18" s="24" t="s">
        <v>178</v>
      </c>
      <c r="C18" s="24">
        <f ca="1">SUM(C13:C17)</f>
        <v>93.643572660635698</v>
      </c>
      <c r="D18" s="24">
        <f t="shared" ref="D18:G18" ca="1" si="1">SUM(D13:D17)</f>
        <v>50.811881780497444</v>
      </c>
      <c r="E18" s="24">
        <f t="shared" ca="1" si="1"/>
        <v>50.666996644771842</v>
      </c>
      <c r="F18" s="24">
        <f t="shared" ca="1" si="1"/>
        <v>50.351489488871891</v>
      </c>
      <c r="G18" s="24">
        <f t="shared" ca="1" si="1"/>
        <v>49.846915756726489</v>
      </c>
    </row>
  </sheetData>
  <mergeCells count="1">
    <mergeCell ref="C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Original Source</vt:lpstr>
      <vt:lpstr>BS 2014</vt:lpstr>
      <vt:lpstr>BS 2015</vt:lpstr>
      <vt:lpstr>BS 2016</vt:lpstr>
      <vt:lpstr>Exercise --&gt;</vt:lpstr>
      <vt:lpstr>Workings</vt:lpstr>
      <vt:lpstr>P&amp;L</vt:lpstr>
      <vt:lpstr>BS</vt:lpstr>
      <vt:lpstr>Fixed Asset Roll Forward</vt:lpstr>
      <vt:lpstr>Financial Liablity</vt:lpstr>
      <vt:lpstr>Equity Schedule</vt:lpstr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Henil Jariwala / SR Executive-Ethical OPS</cp:lastModifiedBy>
  <dcterms:created xsi:type="dcterms:W3CDTF">2016-02-10T00:20:36Z</dcterms:created>
  <dcterms:modified xsi:type="dcterms:W3CDTF">2026-04-17T05:49:33Z</dcterms:modified>
</cp:coreProperties>
</file>